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amsterorg0-my.sharepoint.com/personal/wmayer_teamster_org/Documents/Documents/"/>
    </mc:Choice>
  </mc:AlternateContent>
  <xr:revisionPtr revIDLastSave="143" documentId="11_3B5E18A9B8143E32854B1640B5F305094A8C467B" xr6:coauthVersionLast="47" xr6:coauthVersionMax="47" xr10:uidLastSave="{4094279E-6CF5-41BA-8AC7-233DF3A5FF55}"/>
  <bookViews>
    <workbookView xWindow="28680" yWindow="1995" windowWidth="29040" windowHeight="15720" xr2:uid="{00000000-000D-0000-FFFF-FFFF00000000}"/>
  </bookViews>
  <sheets>
    <sheet name="Query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6" i="1" l="1"/>
  <c r="AX55" i="1"/>
  <c r="AX54" i="1"/>
  <c r="AX53" i="1"/>
</calcChain>
</file>

<file path=xl/sharedStrings.xml><?xml version="1.0" encoding="utf-8"?>
<sst xmlns="http://schemas.openxmlformats.org/spreadsheetml/2006/main" count="2059" uniqueCount="1099">
  <si>
    <t>Contract</t>
  </si>
  <si>
    <t>Local</t>
  </si>
  <si>
    <t>EmployerNum</t>
  </si>
  <si>
    <t>EntryDate</t>
  </si>
  <si>
    <t>Natl_ACK</t>
  </si>
  <si>
    <t>Local_ACK</t>
  </si>
  <si>
    <t>SIC</t>
  </si>
  <si>
    <t>Company</t>
  </si>
  <si>
    <t>Division</t>
  </si>
  <si>
    <t>Address1</t>
  </si>
  <si>
    <t>Address2</t>
  </si>
  <si>
    <t>City</t>
  </si>
  <si>
    <t>State</t>
  </si>
  <si>
    <t>Zip</t>
  </si>
  <si>
    <t>ParentCo</t>
  </si>
  <si>
    <t>EffDate</t>
  </si>
  <si>
    <t>ExpDate</t>
  </si>
  <si>
    <t>NumMembers</t>
  </si>
  <si>
    <t>Remarks</t>
  </si>
  <si>
    <t>EnteredBy</t>
  </si>
  <si>
    <t>Trade</t>
  </si>
  <si>
    <t>Backlog</t>
  </si>
  <si>
    <t>NAICS</t>
  </si>
  <si>
    <t>More</t>
  </si>
  <si>
    <t>GlobalUlt</t>
  </si>
  <si>
    <t>DunsUlt</t>
  </si>
  <si>
    <t>Subsidiary</t>
  </si>
  <si>
    <t>FirstAgmt</t>
  </si>
  <si>
    <t>Cloned</t>
  </si>
  <si>
    <t>Trade2</t>
  </si>
  <si>
    <t>GCC Local</t>
  </si>
  <si>
    <t>EIN</t>
  </si>
  <si>
    <t>RTW</t>
  </si>
  <si>
    <t>ModifiedDate</t>
  </si>
  <si>
    <t>SAF</t>
  </si>
  <si>
    <t>Local_Employer</t>
  </si>
  <si>
    <t>ContractAcquiredID</t>
  </si>
  <si>
    <t>NLRBNumber</t>
  </si>
  <si>
    <t>NLRBName</t>
  </si>
  <si>
    <t>NLRBDate</t>
  </si>
  <si>
    <t>AcquiredDescription</t>
  </si>
  <si>
    <t>ModifiedBy</t>
  </si>
  <si>
    <t>PredecessorID</t>
  </si>
  <si>
    <t>DBAName</t>
  </si>
  <si>
    <t>NAICS2</t>
  </si>
  <si>
    <t>DocumentContentID</t>
  </si>
  <si>
    <t>JobsKOJ</t>
  </si>
  <si>
    <t>JobsSOC</t>
  </si>
  <si>
    <t>JobsDescription</t>
  </si>
  <si>
    <t>2025-04829-000</t>
  </si>
  <si>
    <t>0456</t>
  </si>
  <si>
    <t>023212965</t>
  </si>
  <si>
    <t>11/18/2025</t>
  </si>
  <si>
    <t/>
  </si>
  <si>
    <t>9121</t>
  </si>
  <si>
    <t>WESTCHESTER (COUNTY OF), NEW YORK</t>
  </si>
  <si>
    <t>ADMINISTRATIVE UNIT</t>
  </si>
  <si>
    <t>148 MARITIME AVENUE, ROOM 730</t>
  </si>
  <si>
    <t>WHITE PLAINS</t>
  </si>
  <si>
    <t>NY</t>
  </si>
  <si>
    <t>10601</t>
  </si>
  <si>
    <t>1/1/2021</t>
  </si>
  <si>
    <t>12/31/2025</t>
  </si>
  <si>
    <t>MOA AMENDING AND EXTENDING INCLUDED FULL TEXT AGMT. THROUGH DEC 2025. COVERS VARIOUS COUNTY ADMINISTRATIVE EMPLOYEES. SEE MOA SEC. 3 FOR NEW WAGES.</t>
  </si>
  <si>
    <t>Mayer_William</t>
  </si>
  <si>
    <t>U01</t>
  </si>
  <si>
    <t>921120</t>
  </si>
  <si>
    <t>PSD001</t>
  </si>
  <si>
    <t>0456-023212965</t>
  </si>
  <si>
    <t>Budget and management systems analysis occupations (161); File clerks (206); Lawyers (110); Occupations in medicine and health, n.e.c. (079); Security guards and correction officers, except crossing tenders (372)</t>
  </si>
  <si>
    <t>Budget Analysts (13-2031); First-Line Supervisors of Correctional Officers (33-1011); Lawyers (23-1011); Medical Records Specialists (29-2072); Psychiatrists (29-1223)</t>
  </si>
  <si>
    <t>ADMIN., MED RECORDS; ANALYST, BUDGET; COUNSEL, LEGISLATIN; PSYCHIATRIST; WARDEN, ASSOCIATE</t>
  </si>
  <si>
    <t>2025-02690-000</t>
  </si>
  <si>
    <t>0206</t>
  </si>
  <si>
    <t>001027120</t>
  </si>
  <si>
    <t>7/16/2025</t>
  </si>
  <si>
    <t>2752</t>
  </si>
  <si>
    <t>ABC PRINTERS, INC.</t>
  </si>
  <si>
    <t>1375 CROSS STREET SOUTHEAST</t>
  </si>
  <si>
    <t>SALEM</t>
  </si>
  <si>
    <t>OR</t>
  </si>
  <si>
    <t>97302</t>
  </si>
  <si>
    <t>5/1/2025</t>
  </si>
  <si>
    <t>4/30/2028</t>
  </si>
  <si>
    <t>ambrose_dylan</t>
  </si>
  <si>
    <t>I14</t>
  </si>
  <si>
    <t>323111</t>
  </si>
  <si>
    <t>009048067</t>
  </si>
  <si>
    <t>ITD014</t>
  </si>
  <si>
    <t>930554446</t>
  </si>
  <si>
    <t>NON-RTW</t>
  </si>
  <si>
    <t>0206-001027120</t>
  </si>
  <si>
    <t>202301291000</t>
  </si>
  <si>
    <t>Bookbinding machine operators and related occupations (653); Printing occupations, n.e.c. (659); Printing press occupations (651); Stenography, typing, filing and related occupations, n.e.c. (209)</t>
  </si>
  <si>
    <t>Office Clerks, General (43-9061); Prepress Technicians and Workers (51-5111); Print Binding and Finishing Workers (51-5113); Printing Press Operators (51-5112)</t>
  </si>
  <si>
    <t>ASSISTANT, BINDERY; ASSISTANT, OFFICE; LEADMAN, PRESS; OPERATOR, PRESS; PREPRESSMAN</t>
  </si>
  <si>
    <t>2025-01531-000</t>
  </si>
  <si>
    <t>0090</t>
  </si>
  <si>
    <t>009137253</t>
  </si>
  <si>
    <t>4/21/2025</t>
  </si>
  <si>
    <t>5181</t>
  </si>
  <si>
    <t>IOWA BEVERAGE SYSTEMS, INC.</t>
  </si>
  <si>
    <t>2115 NORTHEAST 58TH AVENUE</t>
  </si>
  <si>
    <t>DES MOINES</t>
  </si>
  <si>
    <t>IA</t>
  </si>
  <si>
    <t>50313</t>
  </si>
  <si>
    <t>IOWA BEER AND BEVERAGE COMPANY</t>
  </si>
  <si>
    <t>2/28/2025</t>
  </si>
  <si>
    <t>2/28/2026</t>
  </si>
  <si>
    <t>Damazo_Emma</t>
  </si>
  <si>
    <t>S02</t>
  </si>
  <si>
    <t>424810</t>
  </si>
  <si>
    <t>022050959</t>
  </si>
  <si>
    <t>022131437</t>
  </si>
  <si>
    <t>BSD002</t>
  </si>
  <si>
    <t>421315877</t>
  </si>
  <si>
    <t>0090-009137253</t>
  </si>
  <si>
    <t>18-RM-347149</t>
  </si>
  <si>
    <t>Laborer (998); Truck drivers, heavy (905); Truck drivers, light (906)</t>
  </si>
  <si>
    <t>Heavy and Tractor-Trailer Truck Drivers (53-3032); Laborers and Freight, Stock, and Material Movers, Hand (53-7062); Light Truck Drivers (53-3033)</t>
  </si>
  <si>
    <t>DRIVER, CDL A; DRIVER, NON-CDL; HELPER</t>
  </si>
  <si>
    <t>2025-02101-000</t>
  </si>
  <si>
    <t>0097</t>
  </si>
  <si>
    <t>018178501</t>
  </si>
  <si>
    <t>6/6/2025</t>
  </si>
  <si>
    <t>7213</t>
  </si>
  <si>
    <t>DOMESTIC LINEN SUPPLY COMPANY, INC.</t>
  </si>
  <si>
    <t>265 CORTLANDT STREET</t>
  </si>
  <si>
    <t>BELLEVILLE</t>
  </si>
  <si>
    <t>NJ</t>
  </si>
  <si>
    <t>07109</t>
  </si>
  <si>
    <t>DOMESTIC LINEN SUPPLY AND LAUNDRY COMPANY</t>
  </si>
  <si>
    <t>1/6/2025</t>
  </si>
  <si>
    <t>1/1/2028</t>
  </si>
  <si>
    <t>COVERS PLANT EMPLOYEES. ALSO COVERS FARMINGTON HILLS LOCATION.</t>
  </si>
  <si>
    <t>Pantelides_Gregory</t>
  </si>
  <si>
    <t>I08</t>
  </si>
  <si>
    <t>812331</t>
  </si>
  <si>
    <t>016862336</t>
  </si>
  <si>
    <t>808386809</t>
  </si>
  <si>
    <t>ITD008</t>
  </si>
  <si>
    <t>0097-018178501</t>
  </si>
  <si>
    <t>202103290000</t>
  </si>
  <si>
    <t>DOMESTIC UNIFORM RENTAL</t>
  </si>
  <si>
    <t>Laundering occupations (361)</t>
  </si>
  <si>
    <t>Laundry and Dry-Cleaning Workers (51-6011)</t>
  </si>
  <si>
    <t>EMPLOYEE, PLANT</t>
  </si>
  <si>
    <t>2025-00989-000</t>
  </si>
  <si>
    <t>0222</t>
  </si>
  <si>
    <t>001310070</t>
  </si>
  <si>
    <t>3/11/2025</t>
  </si>
  <si>
    <t>4512</t>
  </si>
  <si>
    <t>AMERICAN AIRLINES, INC.</t>
  </si>
  <si>
    <t>PASSENGER SERVICE</t>
  </si>
  <si>
    <t>776 NORTH TERMINAL DRIVE</t>
  </si>
  <si>
    <t>SALT LAKE CITY</t>
  </si>
  <si>
    <t>UT</t>
  </si>
  <si>
    <t>84122</t>
  </si>
  <si>
    <t>AMERICAN AIRLINES GROUP, INC.</t>
  </si>
  <si>
    <t>1/8/2024</t>
  </si>
  <si>
    <t>12/31/3000</t>
  </si>
  <si>
    <t>COVERS PASSENGER SERVICE EMPLOYEES. SEE ARTICLE IV FOR LIST OF JOB CLASSIFICATIONS. AGREEMENT DOES NOT EXPIRE BUT BECOMES AMMENDABLE.</t>
  </si>
  <si>
    <t>L01</t>
  </si>
  <si>
    <t>481111</t>
  </si>
  <si>
    <t>072560154</t>
  </si>
  <si>
    <t>021537311</t>
  </si>
  <si>
    <t>ALD001</t>
  </si>
  <si>
    <t>131502798</t>
  </si>
  <si>
    <t>0222-001310070</t>
  </si>
  <si>
    <t>202402470000</t>
  </si>
  <si>
    <t>Helper (999)</t>
  </si>
  <si>
    <t>First-Line Supervisors of Passenger Attendants (53-1044); Flight Attendants (53-2031)</t>
  </si>
  <si>
    <t>AGENT, CUST. SERV.; COOR., CUST. SERV.; COOR., PCS; REP. CUST. ASST.; REP., PCS</t>
  </si>
  <si>
    <t>2025-02162-000</t>
  </si>
  <si>
    <t>0317</t>
  </si>
  <si>
    <t>005076231</t>
  </si>
  <si>
    <t>6/11/2025</t>
  </si>
  <si>
    <t>CIN319</t>
  </si>
  <si>
    <t>1611</t>
  </si>
  <si>
    <t>ECONOMY PAVING COMPANY, INC.</t>
  </si>
  <si>
    <t>1819 STATE ROUTE 13</t>
  </si>
  <si>
    <t>CORTLAND</t>
  </si>
  <si>
    <t>13045</t>
  </si>
  <si>
    <t>6/1/2025</t>
  </si>
  <si>
    <t>5/31/2028</t>
  </si>
  <si>
    <t>HVY &amp; HWY CONSTRUCTION AGMT. ONANDAGA COUNTY AGMT.</t>
  </si>
  <si>
    <t>C08</t>
  </si>
  <si>
    <t>237310</t>
  </si>
  <si>
    <t>012737839</t>
  </si>
  <si>
    <t>BMT008</t>
  </si>
  <si>
    <t>160951911</t>
  </si>
  <si>
    <t>0317-005076231</t>
  </si>
  <si>
    <t>Dump-truck drivers (902); Motorized vehicle and engineering equipment mechanics and repairers (620); Occupations in moving and storing materials and products, n.e.c. (922); Packaging and materials handling occupations, n.e.c. (929)</t>
  </si>
  <si>
    <t>Bus and Truck Mechanics and Diesel Engine Specialists (49-3031); Driver, Dump Truck** (53-3034); Laborers and Freight, Stock, and Material Movers, Hand (53-7062); Warehouseperson** (53-7066); Weighers, Measurers, Checkers, and Samplers, Recordkeeping (43-</t>
  </si>
  <si>
    <t>CHECKER, MATERIAL; DRIVER, 1 AXL DUMP; TIREMAN, TRUCK; WAREHOUSEMAN; YARDMAN</t>
  </si>
  <si>
    <t>2025-02850-000</t>
  </si>
  <si>
    <t>0299</t>
  </si>
  <si>
    <t>016342220</t>
  </si>
  <si>
    <t>7/22/2025</t>
  </si>
  <si>
    <t>8631</t>
  </si>
  <si>
    <t>PLUMBERS AND STEAMFITTERS LOCAL UNION NO. 190</t>
  </si>
  <si>
    <t>7920 JACKSON ROAD</t>
  </si>
  <si>
    <t>ANN ARBOR</t>
  </si>
  <si>
    <t>MI</t>
  </si>
  <si>
    <t>48103</t>
  </si>
  <si>
    <t>COVERS CLERICAL STAFF.   INCLUDES ADDENDUM.</t>
  </si>
  <si>
    <t>U08</t>
  </si>
  <si>
    <t>813930</t>
  </si>
  <si>
    <t>942855466</t>
  </si>
  <si>
    <t>PSD008</t>
  </si>
  <si>
    <t>0299-016342220</t>
  </si>
  <si>
    <t>202103850000</t>
  </si>
  <si>
    <t>Secretaries (201); Stenography, typing, filing and related occupations, n.e.c. (209)</t>
  </si>
  <si>
    <t>Office Clerks, General (43-9061); Secretaries and Administrative Assistants, Except Legal, Medical, and Executive (43-6014)</t>
  </si>
  <si>
    <t>EMPLOYEE, CLERICAL; SECRETARY</t>
  </si>
  <si>
    <t>2025-02861-000</t>
  </si>
  <si>
    <t>0589</t>
  </si>
  <si>
    <t>003488751</t>
  </si>
  <si>
    <t>5149</t>
  </si>
  <si>
    <t>SWIRE PACIFIC HOLDINGS, INC.</t>
  </si>
  <si>
    <t>12634 SOUTH 265 WEST</t>
  </si>
  <si>
    <t>DRAPER</t>
  </si>
  <si>
    <t>84020</t>
  </si>
  <si>
    <t>J&amp;S BEVERAGES, INC.</t>
  </si>
  <si>
    <t>5/16/2025</t>
  </si>
  <si>
    <t>5/15/2028</t>
  </si>
  <si>
    <t>FOREIGN PARENT JOHN SWIRE &amp; SONS LTD. U.K. INCLUDES LOA</t>
  </si>
  <si>
    <t>S04</t>
  </si>
  <si>
    <t>424490</t>
  </si>
  <si>
    <t>210287371</t>
  </si>
  <si>
    <t>119412563</t>
  </si>
  <si>
    <t>BSD004</t>
  </si>
  <si>
    <t>0589-003488751</t>
  </si>
  <si>
    <t>202104735000</t>
  </si>
  <si>
    <t>Merchandise displayers (298); Misc. occupations in machine installation and repair (638); Packaging and materials handling occupations, n.e.c. (929); Packaging occupations (920); Truck drivers, light (906)</t>
  </si>
  <si>
    <t>Laborers and Freight, Stock, and Material Movers, Hand (53-7062); Light Truck Drivers (53-3033); Maintenance and Repair Workers, General (49-9071); Merchandise Displayers and Window Trimmers (27-1026)</t>
  </si>
  <si>
    <t>DRIVER, DISTRIBUTN; LOADER; MERCHANDISER; TECHNICIAN, SERVICE; WAREHOUSEMAN</t>
  </si>
  <si>
    <t>2025-02970-000</t>
  </si>
  <si>
    <t>0179</t>
  </si>
  <si>
    <t>020185420</t>
  </si>
  <si>
    <t>7/28/2025</t>
  </si>
  <si>
    <t>CIN376</t>
  </si>
  <si>
    <t>4212</t>
  </si>
  <si>
    <t>TONES TRANSPORTATION INC.</t>
  </si>
  <si>
    <t>105 SOUTH MIDLAND AVENUE</t>
  </si>
  <si>
    <t>JOILET</t>
  </si>
  <si>
    <t>IL</t>
  </si>
  <si>
    <t>60436</t>
  </si>
  <si>
    <t>7/21/2025</t>
  </si>
  <si>
    <t>5/31/2027</t>
  </si>
  <si>
    <t>OWNER-OPERATOR.  SIGNATURE PAGE TO MASTER.</t>
  </si>
  <si>
    <t>C01</t>
  </si>
  <si>
    <t>484110</t>
  </si>
  <si>
    <t>BMT001</t>
  </si>
  <si>
    <t>0179-020185420</t>
  </si>
  <si>
    <t>Dump-truck drivers (902); Truck drivers, heavy (905)</t>
  </si>
  <si>
    <t>Driver, Dump Truck** (53-3034)</t>
  </si>
  <si>
    <t>DRIVER, DUMPTRUCK; DRIVER, HEAVY</t>
  </si>
  <si>
    <t>2025-01956-000</t>
  </si>
  <si>
    <t>0030</t>
  </si>
  <si>
    <t>007161250</t>
  </si>
  <si>
    <t>5/22/2025</t>
  </si>
  <si>
    <t>5031</t>
  </si>
  <si>
    <t>BLUELINX CORPORATION</t>
  </si>
  <si>
    <t>BUILDING MATERIALS DISTRIBUTION CTR.</t>
  </si>
  <si>
    <t>HUNKER ROAD AND OLD ROUTE 119</t>
  </si>
  <si>
    <t>NEW STANTON</t>
  </si>
  <si>
    <t>PA</t>
  </si>
  <si>
    <t>15672</t>
  </si>
  <si>
    <t>BLUELINX HOLDINGS, INC.</t>
  </si>
  <si>
    <t>4/30/2031</t>
  </si>
  <si>
    <t>COVERS DRIVERS AND NIGHT JOCKEYS.</t>
  </si>
  <si>
    <t>C05</t>
  </si>
  <si>
    <t>423310</t>
  </si>
  <si>
    <t>145089889</t>
  </si>
  <si>
    <t>005918677</t>
  </si>
  <si>
    <t>BMT005</t>
  </si>
  <si>
    <t>0030-007161250</t>
  </si>
  <si>
    <t>201902419000</t>
  </si>
  <si>
    <t>Hoisting and conveying occupations (921); Trailer-truck, drivers (904); Truck drivers, light (906)</t>
  </si>
  <si>
    <t>Heavy and Tractor-Trailer Truck Drivers (53-3032); Industrial Truck and Tractor Operators (53-7051); Light Truck Drivers (53-3033)</t>
  </si>
  <si>
    <t>DRIVER, CDL-A; DRIVER, CDL-B; JOCKEY, NIGHT</t>
  </si>
  <si>
    <t>2025-04563-000</t>
  </si>
  <si>
    <t>0397</t>
  </si>
  <si>
    <t>023151280</t>
  </si>
  <si>
    <t>11/5/2025</t>
  </si>
  <si>
    <t>2033</t>
  </si>
  <si>
    <t>WELCH FOODS, INC., A COOPERATIVE</t>
  </si>
  <si>
    <t>139 SOUTH LAKE STREET</t>
  </si>
  <si>
    <t>NORTH EAST</t>
  </si>
  <si>
    <t>16428</t>
  </si>
  <si>
    <t>NATIONAL GRAPE COOPERATIVE ASSOCIATION, INC.</t>
  </si>
  <si>
    <t>6/7/2024</t>
  </si>
  <si>
    <t>6/6/2028</t>
  </si>
  <si>
    <t>COVERS PRODUCTION, MAINTENANCE, SHIPPING, RECEIVING, PROCESSING, AND SANITATION EMPLOYEES AT THE COMPANY'S NORTH EAST, PA PLANT.</t>
  </si>
  <si>
    <t>G01</t>
  </si>
  <si>
    <t>311421</t>
  </si>
  <si>
    <t>001940758</t>
  </si>
  <si>
    <t>005030606</t>
  </si>
  <si>
    <t>FPD001</t>
  </si>
  <si>
    <t>0397-023151280</t>
  </si>
  <si>
    <t>202100325000</t>
  </si>
  <si>
    <t>Hoisting and conveying occupations (921); Laborer (998); Misc. occupations in machine installation and repair (638); Packaging and materials handling occupations, n.e.c. (929); Shipping, receiving, stock and related clerical occupations (222)</t>
  </si>
  <si>
    <t>Industrial Truck and Tractor Operators (53-7051); Laborers and Freight, Stock, and Material Movers, Hand (53-7062); Maintenance and Repair Workers, General (49-9071); Shipping, Receiving, and Inventory Clerks (43-5071); Stockers and Order Fillers (53-7065</t>
  </si>
  <si>
    <t>CLERK, STOCKROOM; LABORER, GENERAL; MECHANIC; OPERATOR, LIFT TRK; WAREHOUSEMAN</t>
  </si>
  <si>
    <t>2025-00129-000</t>
  </si>
  <si>
    <t>0700</t>
  </si>
  <si>
    <t>003353857</t>
  </si>
  <si>
    <t>1/13/2025</t>
  </si>
  <si>
    <t>9221</t>
  </si>
  <si>
    <t>CHICAGO (CITY OF), ILLINOIS</t>
  </si>
  <si>
    <t>1400 WEST MADISON STREET</t>
  </si>
  <si>
    <t>CHICAGO</t>
  </si>
  <si>
    <t>60607</t>
  </si>
  <si>
    <t>7/1/2022</t>
  </si>
  <si>
    <t>6/30/2027</t>
  </si>
  <si>
    <t>COVERS EMPLOYEES IN THE SUPERVISING POLICE COMMUNICATIONS OPERATOR ("SPCO") CLASSIFICATION.</t>
  </si>
  <si>
    <t>922120</t>
  </si>
  <si>
    <t>0700-003353857</t>
  </si>
  <si>
    <t>202003778000</t>
  </si>
  <si>
    <t>Telephone operators (235)</t>
  </si>
  <si>
    <t>Public Safety Telecommunicators (43-5031)</t>
  </si>
  <si>
    <t>SUPERVISOR, PCO</t>
  </si>
  <si>
    <t>2025-01745-000</t>
  </si>
  <si>
    <t>0731</t>
  </si>
  <si>
    <t>003549115</t>
  </si>
  <si>
    <t>5/9/2025</t>
  </si>
  <si>
    <t>COMMERCE TRANSPORTATION, INC.</t>
  </si>
  <si>
    <t>3817 S 59TH COURT</t>
  </si>
  <si>
    <t>CICERO</t>
  </si>
  <si>
    <t>60804</t>
  </si>
  <si>
    <t>6/1/2023</t>
  </si>
  <si>
    <t>COVERS OWNER-DRIVER.</t>
  </si>
  <si>
    <t>107689823</t>
  </si>
  <si>
    <t>883372531</t>
  </si>
  <si>
    <t>0731-003549115</t>
  </si>
  <si>
    <t>NEW COMPANY SIGNATORY TO OUR LOCAL</t>
  </si>
  <si>
    <t>484220</t>
  </si>
  <si>
    <t>Dump-truck drivers (902); Owner-Operator (901)</t>
  </si>
  <si>
    <t>Heavy and Tractor-Trailer Truck Drivers (53-3032)</t>
  </si>
  <si>
    <t>OWNER-DRIVER; OWNER-DRIVER</t>
  </si>
  <si>
    <t>2025-03573-006</t>
  </si>
  <si>
    <t>0166</t>
  </si>
  <si>
    <t>003626150</t>
  </si>
  <si>
    <t>8/29/2025</t>
  </si>
  <si>
    <t>1629</t>
  </si>
  <si>
    <t>DCX CAVATION INC</t>
  </si>
  <si>
    <t>10641 PROSPECT AVENUE</t>
  </si>
  <si>
    <t>SANTEE</t>
  </si>
  <si>
    <t>CA</t>
  </si>
  <si>
    <t>92071</t>
  </si>
  <si>
    <t>7/1/2025</t>
  </si>
  <si>
    <t>6/30/2028</t>
  </si>
  <si>
    <t>SAN DIEGO MASTER LABOR AGREEMENT BETWEEN ASSOCIATED GENERAL CONTRACTORS OF AMERICA SAN DIEGO CHAPTER AND SOUTHERN CALIFORNIA CONTRACTORS ASSOCIATION WITH L.U. 0166.</t>
  </si>
  <si>
    <t>237130</t>
  </si>
  <si>
    <t>623294753</t>
  </si>
  <si>
    <t>0166-003626150</t>
  </si>
  <si>
    <t>Dump-truck drivers (902); Hoisting and conveying occupations (921); Motorized vehicle and engineering equipment mechanics and repairers (620)</t>
  </si>
  <si>
    <t>Automotive Service Technicians and Mechanics (49-3023); Bus and Truck Mechanics and Diesel Engine Specialists (49-3031); Heavy and Tractor-Trailer Truck Drivers (53-3032); Industrial Truck and Tractor Operators (53-7051); Tire Repairers and Changers (49-3</t>
  </si>
  <si>
    <t>DRIVER, DUMP TRUCK; DRIVER, LIFT TRUCK; FUELMAN; MECHANIC, TRUCK; TIREMAN</t>
  </si>
  <si>
    <t>2025-02334-000</t>
  </si>
  <si>
    <t>0264</t>
  </si>
  <si>
    <t>020292350</t>
  </si>
  <si>
    <t>6/25/2025</t>
  </si>
  <si>
    <t>5141</t>
  </si>
  <si>
    <t>TRIPIFOODS, INC.</t>
  </si>
  <si>
    <t>1427 WILLIAM STREET</t>
  </si>
  <si>
    <t>BUFFALO</t>
  </si>
  <si>
    <t>14206</t>
  </si>
  <si>
    <t>4/1/2025</t>
  </si>
  <si>
    <t>3/31/2028</t>
  </si>
  <si>
    <t>COVERS DELIVERY, WAREHOUSE, AND PACKING ROOM EMPLOYEES.</t>
  </si>
  <si>
    <t>W02</t>
  </si>
  <si>
    <t>424410</t>
  </si>
  <si>
    <t>009831280</t>
  </si>
  <si>
    <t>WHD002</t>
  </si>
  <si>
    <t>160665880</t>
  </si>
  <si>
    <t>0264-020292350</t>
  </si>
  <si>
    <t>202203906000</t>
  </si>
  <si>
    <t>Packaging and materials handling occupations, n.e.c. (929); Packaging occupations (920); Production, stock clerks and related occupations, n.e.c. (229); Trailer-truck, drivers (904); Truck drivers, light (906)</t>
  </si>
  <si>
    <t>Heavy and Tractor-Trailer Truck Drivers (53-3032); Light Truck Drivers (53-3033); Packers and Packagers, Hand (53-7064); Stockers and Order Fillers (53-7065)</t>
  </si>
  <si>
    <t>DRIVER, NON-TRACTOR; DRIVER, TRACTOR; RECOUPER; REPACKER; WAREHOUSEMAN</t>
  </si>
  <si>
    <t>2025-03755-000</t>
  </si>
  <si>
    <t>0107</t>
  </si>
  <si>
    <t>016191700</t>
  </si>
  <si>
    <t>9/10/2025</t>
  </si>
  <si>
    <t>NMF-PA</t>
  </si>
  <si>
    <t>WHITE</t>
  </si>
  <si>
    <t>5084</t>
  </si>
  <si>
    <t>PENNSYLVANIA WELDING SUPPLY</t>
  </si>
  <si>
    <t>853 EAST PENNSYLVANIA BOULEVARD</t>
  </si>
  <si>
    <t>FEASTERVILLE</t>
  </si>
  <si>
    <t>19053</t>
  </si>
  <si>
    <t>SUPPLEMENTAL AGREEMENT TO NMFA-PHILLY AND VICINITY  AREA LOCAL CARTAGE AGMT. DBA R AND M WELDING SUPPLY COMPANY.</t>
  </si>
  <si>
    <t>F01</t>
  </si>
  <si>
    <t>423830</t>
  </si>
  <si>
    <t>088806013</t>
  </si>
  <si>
    <t>NMF001</t>
  </si>
  <si>
    <t>0107-016191700</t>
  </si>
  <si>
    <t>202201048000</t>
  </si>
  <si>
    <t>R AND M WELDING SUPPLY COMPANY, INC.</t>
  </si>
  <si>
    <t>Trailer-truck, drivers (904)</t>
  </si>
  <si>
    <t>DRIVER</t>
  </si>
  <si>
    <t>2025-01133-000</t>
  </si>
  <si>
    <t>0162</t>
  </si>
  <si>
    <t>022099770</t>
  </si>
  <si>
    <t>3/24/2025</t>
  </si>
  <si>
    <t>5169</t>
  </si>
  <si>
    <t>UNIVAR SOLUTIONS USA, INC.</t>
  </si>
  <si>
    <t>3950 NORTHWEST YEON AVENUE</t>
  </si>
  <si>
    <t>PORTLAND</t>
  </si>
  <si>
    <t>97210</t>
  </si>
  <si>
    <t>APOLLO GLOBAL MANAGEMENT, INC.</t>
  </si>
  <si>
    <t>8/1/2023</t>
  </si>
  <si>
    <t>7/31/2026</t>
  </si>
  <si>
    <t>DIFFERENT VERSION OF CBA NO. 2024-00297-000 SUBMITTED BY LOCAL UNION</t>
  </si>
  <si>
    <t>T01</t>
  </si>
  <si>
    <t>424690</t>
  </si>
  <si>
    <t>118509953</t>
  </si>
  <si>
    <t>049799232</t>
  </si>
  <si>
    <t>THD001</t>
  </si>
  <si>
    <t>911347935</t>
  </si>
  <si>
    <t>0162-022099770</t>
  </si>
  <si>
    <t>202400297000</t>
  </si>
  <si>
    <t>Truck drivers, inflammables (903)</t>
  </si>
  <si>
    <t>Driver, Inflammables** (53-3036)</t>
  </si>
  <si>
    <t>2025-00162-000</t>
  </si>
  <si>
    <t>0891</t>
  </si>
  <si>
    <t>030008911</t>
  </si>
  <si>
    <t>1500</t>
  </si>
  <si>
    <t>LOCAL UNION 891 MISCELLANEOUS MEMBERS</t>
  </si>
  <si>
    <t>2648 OLD BRANDON ROAD</t>
  </si>
  <si>
    <t>PEARL</t>
  </si>
  <si>
    <t>MS</t>
  </si>
  <si>
    <t>39208</t>
  </si>
  <si>
    <t>1/1/2025</t>
  </si>
  <si>
    <t>WAGES AND FRINGE BENEFITS - SOUTHERN REGION AGMT. COVERS CASUAL CONSTRUCTION WORK.</t>
  </si>
  <si>
    <t>ZZZ</t>
  </si>
  <si>
    <t>230000</t>
  </si>
  <si>
    <t>SLF000</t>
  </si>
  <si>
    <t>0891-030008911</t>
  </si>
  <si>
    <t>202400253000</t>
  </si>
  <si>
    <t>Excavating, grading, paving, and related occupations, n.e.c. (859)</t>
  </si>
  <si>
    <t>Installation, Maintenance, and Repair Workers, All Other (49-9099)</t>
  </si>
  <si>
    <t>WORKER</t>
  </si>
  <si>
    <t>2025-04528-000</t>
  </si>
  <si>
    <t>0020</t>
  </si>
  <si>
    <t>020167750</t>
  </si>
  <si>
    <t>11/4/2025</t>
  </si>
  <si>
    <t>8412</t>
  </si>
  <si>
    <t>TOLEDO MUSEUM OF ART</t>
  </si>
  <si>
    <t>2445 MONROE STREET</t>
  </si>
  <si>
    <t>TOLEDO</t>
  </si>
  <si>
    <t>OH</t>
  </si>
  <si>
    <t>43620</t>
  </si>
  <si>
    <t>AMENDMENT TO ARTICLE 16 ONLY.</t>
  </si>
  <si>
    <t>712110</t>
  </si>
  <si>
    <t>068101989</t>
  </si>
  <si>
    <t>344434678</t>
  </si>
  <si>
    <t>0020-020167750</t>
  </si>
  <si>
    <t>Building and related service occupations, n.e.c. (389); Gardening and groundskeeping occupations (406); Mechanics and machinery repairers, n.e.c. (639); Museum curators and related occupations (102); Occupations in fabrication and repair of pottery and po</t>
  </si>
  <si>
    <t>Craft Artists (27-1012); Janitors and Cleaners, Except Maids and Housekeeping Cleaners (37-2011); Landscaping and Groundskeeping Workers (37-3011); Maintenance and Repair Workers, General (49-9071); Museum Technicians and Conservators (25-4013)</t>
  </si>
  <si>
    <t>CUSTODIAN; GROUNDSKEEPER; MECHANIC, MAINT; PREPARATOR; TECH., GLASS</t>
  </si>
  <si>
    <t>2025-03390-000</t>
  </si>
  <si>
    <t>0667</t>
  </si>
  <si>
    <t>018278100</t>
  </si>
  <si>
    <t>8/19/2025</t>
  </si>
  <si>
    <t>2044</t>
  </si>
  <si>
    <t>RIVIANA FOODS, INC.</t>
  </si>
  <si>
    <t>2314 SOUTH LAUDERDALE STREET</t>
  </si>
  <si>
    <t>MEMPHIS</t>
  </si>
  <si>
    <t>TN</t>
  </si>
  <si>
    <t>38106</t>
  </si>
  <si>
    <t>4/18/2025</t>
  </si>
  <si>
    <t>4/17/2028</t>
  </si>
  <si>
    <t>COVERS WAREHOUSE, MAINTENANCE, AND PRODUCTION EMPLOYEES (SEE SECTION 40).</t>
  </si>
  <si>
    <t>311212</t>
  </si>
  <si>
    <t>863020392</t>
  </si>
  <si>
    <t>147160956</t>
  </si>
  <si>
    <t>007024011</t>
  </si>
  <si>
    <t>760177572</t>
  </si>
  <si>
    <t>0667-018278100</t>
  </si>
  <si>
    <t>202203121000</t>
  </si>
  <si>
    <t>Heating, baking, drying, seasoning, melting and heat treating occupations (553); Misc. occupations in machine installation and repair (638); Occupations in assembly, installation and repair of lighting equipment and building wiring, n.e.c. (824); Occupati</t>
  </si>
  <si>
    <t>Electricians (47-2111); Food and Tobacco Roasting, Baking, and Drying Machine Operators and Tenders (51-3091); Industrial Machinery Mechanics (49-9041); Packaging and Filling Machine Operators and Tenders (51-9111); Stockers and Order Fillers (53-7065)</t>
  </si>
  <si>
    <t>ELECTRICIAN, MASTER; MECHANIC, MASTER; OPERATOR, PACKAGING; WORKER, PROCESSING; WORKER, WAREHOUSE</t>
  </si>
  <si>
    <t>2025-04260-000</t>
  </si>
  <si>
    <t>0223</t>
  </si>
  <si>
    <t>006038707</t>
  </si>
  <si>
    <t>10/16/2025</t>
  </si>
  <si>
    <t>9111</t>
  </si>
  <si>
    <t>FAIRVIEW (CITY OF), OREGON</t>
  </si>
  <si>
    <t>1300 NORTHEAST VILLAGE STREET</t>
  </si>
  <si>
    <t>FAIRVIEW</t>
  </si>
  <si>
    <t>97024</t>
  </si>
  <si>
    <t>COVERS DPW AND CITY HALL WORKERS.</t>
  </si>
  <si>
    <t>921110</t>
  </si>
  <si>
    <t>0223-006038707</t>
  </si>
  <si>
    <t>202300239000</t>
  </si>
  <si>
    <t>921190</t>
  </si>
  <si>
    <t>Accounting and statistical clerks (216); Mechanics and machinery repairers, n.e.c. (639); Occupations in architecture, engineering and surveying, n.e.c. (019); Secretaries (201); Transportation, communication, and utilities managers and officials (184)</t>
  </si>
  <si>
    <t>Bookkeeping, Accounting, and Auditing Clerks (43-3031); Engineers, All Other (17-2199); Maintenance and Repair Workers, General (49-9071); Property Appraisers and Assessors (13-2020); Secretaries and Administrative Assistants, Except Legal, Medical, and E</t>
  </si>
  <si>
    <t>ADMIN. ASSISTANT; CLERK, ACCOUNTING; LEAD, PUBLIC WKS; MAINTENANCEMAN; TECH., ENGINEER</t>
  </si>
  <si>
    <t>2025-00840-000</t>
  </si>
  <si>
    <t>011031100</t>
  </si>
  <si>
    <t>3/3/2025</t>
  </si>
  <si>
    <t>KANE (COUNTY OF), ILLINOIS</t>
  </si>
  <si>
    <t>719 SOUTH BATAVIA AVENUE</t>
  </si>
  <si>
    <t>GENEVA</t>
  </si>
  <si>
    <t>60134</t>
  </si>
  <si>
    <t>12/1/2024</t>
  </si>
  <si>
    <t>11/30/2027</t>
  </si>
  <si>
    <t>JOINT EMPLOYERS: COUNTY OF KANE, IL &amp; SHERIFF OF KANE COUNTY. COVERS COURT SECURITY OFFICERS.</t>
  </si>
  <si>
    <t>0700-011031100</t>
  </si>
  <si>
    <t>202303391000</t>
  </si>
  <si>
    <t>Security guards and correction officers, except crossing tenders (372)</t>
  </si>
  <si>
    <t>Correctional Officers and Jailers (33-3012)</t>
  </si>
  <si>
    <t>SECURITY, COURT</t>
  </si>
  <si>
    <t>2025-04097-000</t>
  </si>
  <si>
    <t>0554</t>
  </si>
  <si>
    <t>008050625</t>
  </si>
  <si>
    <t>10/3/2025</t>
  </si>
  <si>
    <t>9621</t>
  </si>
  <si>
    <t>HALL COUNTY AIRPORT AUTHORITY</t>
  </si>
  <si>
    <t>3579 SKY PARK ROAD</t>
  </si>
  <si>
    <t>GRAND ISLAND</t>
  </si>
  <si>
    <t>NE</t>
  </si>
  <si>
    <t>68801</t>
  </si>
  <si>
    <t>10/1/2025</t>
  </si>
  <si>
    <t>9/30/2028</t>
  </si>
  <si>
    <t>COVERS BUILDING MAINTENANCE AND FIRE SAFETY EMPLOYEES.</t>
  </si>
  <si>
    <t>926120</t>
  </si>
  <si>
    <t>0554-008050625</t>
  </si>
  <si>
    <t>202400293000</t>
  </si>
  <si>
    <t>Mechanics and machinery repairers, n.e.c. (639); Misc. occupations in machine installation and repair (638)</t>
  </si>
  <si>
    <t>Maintenance and Repair Workers, General (49-9071)</t>
  </si>
  <si>
    <t>FACILITY, WORKER; TECH, MAINTENANCE</t>
  </si>
  <si>
    <t>2025-01281-000</t>
  </si>
  <si>
    <t>0687</t>
  </si>
  <si>
    <t>015109330</t>
  </si>
  <si>
    <t>4/2/2025</t>
  </si>
  <si>
    <t>OSWEGATCHIE (TOWN OF), NEW YORK</t>
  </si>
  <si>
    <t>HIGHWAY DEPARTMENT</t>
  </si>
  <si>
    <t>4960 COUNTY ROUTE 6</t>
  </si>
  <si>
    <t>OGDENSBURG</t>
  </si>
  <si>
    <t>13669</t>
  </si>
  <si>
    <t>12/31/2027</t>
  </si>
  <si>
    <t>COVERS HIGHWAY DEPARTMENT WORKERS (SEE ARTICLE 13).</t>
  </si>
  <si>
    <t>0687-015109330</t>
  </si>
  <si>
    <t>202202672000</t>
  </si>
  <si>
    <t>Excavating, grading, paving, and related occupations, n.e.c. (859); Laborer (998); Truck drivers, light (906)</t>
  </si>
  <si>
    <t>Highway Maintenance Workers (47-4051); Laborers and Freight, Stock, and Material Movers, Hand (53-7062); Light Truck Drivers (53-3033)</t>
  </si>
  <si>
    <t>DRIVER, TRUCK; LABORER; OPERATOR, MTR EQUIP</t>
  </si>
  <si>
    <t>2025-02365-000</t>
  </si>
  <si>
    <t>0120</t>
  </si>
  <si>
    <t>006197500</t>
  </si>
  <si>
    <t>6/27/2025</t>
  </si>
  <si>
    <t>2512</t>
  </si>
  <si>
    <t>FLEXSTEEL INDUSTRIES, INC.</t>
  </si>
  <si>
    <t>UPHOLSTERY DIVISION</t>
  </si>
  <si>
    <t>3400 JACKSONVILLE STREET</t>
  </si>
  <si>
    <t>PO BOX 877</t>
  </si>
  <si>
    <t>DUBUQUE</t>
  </si>
  <si>
    <t>52001</t>
  </si>
  <si>
    <t>COVERS DRIVERS, MECHANICS, AND LOADERS AT THE COMPANY'S DUBUQUE PLANT.</t>
  </si>
  <si>
    <t>I01</t>
  </si>
  <si>
    <t>337121</t>
  </si>
  <si>
    <t>005146048</t>
  </si>
  <si>
    <t>196541437</t>
  </si>
  <si>
    <t>ITD001</t>
  </si>
  <si>
    <t>420442319</t>
  </si>
  <si>
    <t>0120-006197500</t>
  </si>
  <si>
    <t>202201861000</t>
  </si>
  <si>
    <t>Hoisting and conveying occupations (921); Motorized vehicle and engineering equipment mechanics and repairers (620); Occupations in moving and storing materials and products, n.e.c. (922); Trailer-truck, drivers (904); Truck drivers, light (906)</t>
  </si>
  <si>
    <t>Bus and Truck Mechanics and Diesel Engine Specialists (49-3031); Heavy and Tractor-Trailer Truck Drivers (53-3032); Industrial Truck and Tractor Operators (53-7051); Laborers and Freight, Stock, and Material Movers, Hand (53-7062); Light Truck Drivers (53</t>
  </si>
  <si>
    <t>DRIVER; DRIVER, OTR; LOADER; MECHANIC; YARDBIRD</t>
  </si>
  <si>
    <t>2025-04600-000</t>
  </si>
  <si>
    <t>0959</t>
  </si>
  <si>
    <t>023372245</t>
  </si>
  <si>
    <t>11/6/2025</t>
  </si>
  <si>
    <t>4225</t>
  </si>
  <si>
    <t>WOLF CREEK FEDERAL SERVICES, INC.</t>
  </si>
  <si>
    <t>FORT GREELY</t>
  </si>
  <si>
    <t>FAIRBANKS</t>
  </si>
  <si>
    <t>AK</t>
  </si>
  <si>
    <t>32945</t>
  </si>
  <si>
    <t>CHUGACH ALASKA CORPORATION</t>
  </si>
  <si>
    <t>12/17/2023</t>
  </si>
  <si>
    <t>12/16/2026</t>
  </si>
  <si>
    <t>COVERS SKILLED TRADES WORKERS UNDER FEDERAL CONTRACT AT FORT GREELY, ALASKA (SEE APPENDIX A).</t>
  </si>
  <si>
    <t>W01</t>
  </si>
  <si>
    <t>493110</t>
  </si>
  <si>
    <t>071844021</t>
  </si>
  <si>
    <t>WHD001</t>
  </si>
  <si>
    <t>0959-023372245</t>
  </si>
  <si>
    <t>201805330000</t>
  </si>
  <si>
    <t>Carpenters and related occupations (860); Occupations in assembly, installation and repair of lighting equipment and building wiring, n.e.c. (824); Packaging and materials handling occupations, n.e.c. (929); Plumbers, gas fitters, steam fitters and relate</t>
  </si>
  <si>
    <t>Electricians (47-2111); Laborers and Freight, Stock, and Material Movers, Hand (53-7062)</t>
  </si>
  <si>
    <t>CARPENTER; ELECTRICIAN; MATERIAL, HANDLER; PLUMBER</t>
  </si>
  <si>
    <t>2025-00063-000</t>
  </si>
  <si>
    <t>0294</t>
  </si>
  <si>
    <t>003442700</t>
  </si>
  <si>
    <t>1/10/2025</t>
  </si>
  <si>
    <t>3273</t>
  </si>
  <si>
    <t>CLEMENTE LATHAM CONCRETE CORPORATION</t>
  </si>
  <si>
    <t>850 SOUTH PEARL STREET</t>
  </si>
  <si>
    <t>ALBANY</t>
  </si>
  <si>
    <t>12204</t>
  </si>
  <si>
    <t>7/1/2024</t>
  </si>
  <si>
    <t>COVERS DRIVERS AND MECHANICS.</t>
  </si>
  <si>
    <t>C02</t>
  </si>
  <si>
    <t>327320</t>
  </si>
  <si>
    <t>219509155</t>
  </si>
  <si>
    <t>037176591</t>
  </si>
  <si>
    <t>054844096</t>
  </si>
  <si>
    <t>BMT002</t>
  </si>
  <si>
    <t>0294-003442700</t>
  </si>
  <si>
    <t>202201123000</t>
  </si>
  <si>
    <t>Concrete-mixing-truck drivers (900); Motorized vehicle and engineering equipment mechanics and repairers (620)</t>
  </si>
  <si>
    <t>Bus and Truck Mechanics and Diesel Engine Specialists (49-3031); Heavy and Tractor-Trailer Truck Drivers (53-3032)</t>
  </si>
  <si>
    <t>DRIVER; MECHANIC</t>
  </si>
  <si>
    <t>2025-02554-000</t>
  </si>
  <si>
    <t>0612</t>
  </si>
  <si>
    <t>020353310</t>
  </si>
  <si>
    <t>7/10/2025</t>
  </si>
  <si>
    <t>2015</t>
  </si>
  <si>
    <t>TYSON FOODS, INC.</t>
  </si>
  <si>
    <t>67240 MAIN STREET</t>
  </si>
  <si>
    <t>HIGHWAY 231 SOUTH</t>
  </si>
  <si>
    <t>BLOUNTSVILLE</t>
  </si>
  <si>
    <t>AL</t>
  </si>
  <si>
    <t>35031</t>
  </si>
  <si>
    <t>3/31/2025</t>
  </si>
  <si>
    <t>3/30/2030</t>
  </si>
  <si>
    <t>COVERS LIVE HAUL TRUCK DRIVERS.</t>
  </si>
  <si>
    <t>311615</t>
  </si>
  <si>
    <t>006903702</t>
  </si>
  <si>
    <t>078967197</t>
  </si>
  <si>
    <t>710225165</t>
  </si>
  <si>
    <t>0612-020353310</t>
  </si>
  <si>
    <t>202303107000</t>
  </si>
  <si>
    <t>Misc. transportation occupations, n.e.c. (919); Trailer-truck, drivers (904)</t>
  </si>
  <si>
    <t>Dispatchers, Except Police, Fire, and Ambulance (43-5032); Heavy and Tractor-Trailer Truck Drivers (53-3032)</t>
  </si>
  <si>
    <t>DISPATCHER; DRIVER, LIVE HAUL</t>
  </si>
  <si>
    <t>2025-04618-000</t>
  </si>
  <si>
    <t>014108807</t>
  </si>
  <si>
    <t>11/7/2025</t>
  </si>
  <si>
    <t>8744</t>
  </si>
  <si>
    <t>NETCENTRIC TECHNOLOGY, LLC</t>
  </si>
  <si>
    <t>1300 EISELE ROAD</t>
  </si>
  <si>
    <t>99712</t>
  </si>
  <si>
    <t>VISTRONIX, LLC</t>
  </si>
  <si>
    <t>5/31/2026</t>
  </si>
  <si>
    <t>COVERS FACILITIES SUPPORT EMPLOYEES AT FAIRBANKS COMMAND AND DATA ACQUISITION STATION, FAIRBANKS, AK. SEE SCHEDULE 1 FOR WAGES. INCLUDES LOAS.</t>
  </si>
  <si>
    <t>561210</t>
  </si>
  <si>
    <t>076637073</t>
  </si>
  <si>
    <t>113807676</t>
  </si>
  <si>
    <t>0959-014108807</t>
  </si>
  <si>
    <t>Misc. occupations in machine installation and repair (638); Occupations in assembly, installation and repair of electronic communications, detection and signaling equipment (823); Packaging and materials handling occupations, n.e.c. (929)</t>
  </si>
  <si>
    <t>Computer Network Support Specialists (15-1231); Laborers and Freight, Stock, and Material Movers, Hand (53-7062); Maintenance and Repair Workers, General (49-9071); Radio, Cellular, and Tower Equipment Installers and Repairers (49-2021)</t>
  </si>
  <si>
    <t>TECHNICIAN, ANTENNA; TECHNICIAN, I.T.; TECHNICIAN., MAINT.; WORKER, LOGISTICS</t>
  </si>
  <si>
    <t>2025-03919-000</t>
  </si>
  <si>
    <t>0135</t>
  </si>
  <si>
    <t>019852600</t>
  </si>
  <si>
    <t>9/22/2025</t>
  </si>
  <si>
    <t>8093</t>
  </si>
  <si>
    <t>SWANSON CENTER</t>
  </si>
  <si>
    <t>7224 WEST 400TH STREET NORTH</t>
  </si>
  <si>
    <t>MICHIGAN CITY</t>
  </si>
  <si>
    <t>IN</t>
  </si>
  <si>
    <t>46360</t>
  </si>
  <si>
    <t>LAPORTE COUNTY COMP. MENTAL HEALTH COUNCIL, INC.</t>
  </si>
  <si>
    <t>SEE SCHEDULE A FOR WAGES.</t>
  </si>
  <si>
    <t>U05</t>
  </si>
  <si>
    <t>621420</t>
  </si>
  <si>
    <t>070980149</t>
  </si>
  <si>
    <t>PSD005</t>
  </si>
  <si>
    <t>351168040</t>
  </si>
  <si>
    <t>0135-019852600</t>
  </si>
  <si>
    <t>202204584000</t>
  </si>
  <si>
    <t>LAPORTE COUNTY COMPREHENSIVE MENTAL HEALTH COUNCIL, INC.</t>
  </si>
  <si>
    <t>File clerks (206); Occupations in psychology (045); Occupations in social and welfare work (195); Registered nurses (075); Therapists (076)</t>
  </si>
  <si>
    <t>Clinical and Counseling Psychologists (19-3033); Medical Records Specialists (29-2072); Mental Health and Substance Abuse Social Workers (21-1023); Psychiatric Technicians (29-2053); Registered Nurses (29-1141)</t>
  </si>
  <si>
    <t>CLERK, MED RECRDS; MANAGER, CASE; NURSE, REGISTERED; PSYCHOLOGIST, CLIN; TECH, MENTAL HEALTH</t>
  </si>
  <si>
    <t>2025-04386-000</t>
  </si>
  <si>
    <t>006153228</t>
  </si>
  <si>
    <t>10/23/2025</t>
  </si>
  <si>
    <t>4111</t>
  </si>
  <si>
    <t>TRANSDEV, INC.</t>
  </si>
  <si>
    <t>662 HALEY LANE</t>
  </si>
  <si>
    <t>AUBURN</t>
  </si>
  <si>
    <t>36832</t>
  </si>
  <si>
    <t>TRANSDEV NORTH AMERICA, INC.</t>
  </si>
  <si>
    <t>10/1/2022</t>
  </si>
  <si>
    <t>9/30/2025</t>
  </si>
  <si>
    <t>COVERS BUS DRIVERS AND MECHANICS AT AUBURN UNIVERSITY. SEE ARTS. 29.8 AND 30.1 FOR WAGES. FKA FIRST TRANSIT, INC. INCUDES LOU.  FOREIGN PARENT AGENCE DES PARTICIPATIONS DE L'ETAT, FRANCE.</t>
  </si>
  <si>
    <t>J06</t>
  </si>
  <si>
    <t>485113</t>
  </si>
  <si>
    <t>260509716</t>
  </si>
  <si>
    <t>118735914</t>
  </si>
  <si>
    <t>PTD006</t>
  </si>
  <si>
    <t>0612-006153228</t>
  </si>
  <si>
    <t>201900191000</t>
  </si>
  <si>
    <t>FIRST TRANSIT, INC.</t>
  </si>
  <si>
    <t>Motorized vehicle and engineering equipment mechanics and repairers (620); Passenger transportation occupations (913)</t>
  </si>
  <si>
    <t>Bus and Truck Mechanics and Diesel Engine Specialists (49-3031); Bus Drivers, Transit and Intercity (53-3052)</t>
  </si>
  <si>
    <t>DRIVER, BUS; MECHANIC, BUS</t>
  </si>
  <si>
    <t>2025-02736-000</t>
  </si>
  <si>
    <t>0690</t>
  </si>
  <si>
    <t>003792050</t>
  </si>
  <si>
    <t>7/17/2025</t>
  </si>
  <si>
    <t>8211</t>
  </si>
  <si>
    <t>CUSICK SCHOOL DISTRICT NO. 59</t>
  </si>
  <si>
    <t>305 MONUMENTAL ROAD</t>
  </si>
  <si>
    <t>CUSICK</t>
  </si>
  <si>
    <t>WA</t>
  </si>
  <si>
    <t>99119</t>
  </si>
  <si>
    <t>9/1/2024</t>
  </si>
  <si>
    <t>8/31/2027</t>
  </si>
  <si>
    <t>BUS DRIVER  AGMT.  INCLUDES MEMORANDA OF AGMT.</t>
  </si>
  <si>
    <t>U03</t>
  </si>
  <si>
    <t>611110</t>
  </si>
  <si>
    <t>PSD003</t>
  </si>
  <si>
    <t>0690-003792050</t>
  </si>
  <si>
    <t>202103666000</t>
  </si>
  <si>
    <t>Passenger transportation occupations (913)</t>
  </si>
  <si>
    <t>Bus Drivers, School (53-3051)</t>
  </si>
  <si>
    <t>DRIVER, BUS</t>
  </si>
  <si>
    <t>2025-01530-000</t>
  </si>
  <si>
    <t>0639</t>
  </si>
  <si>
    <t>006281000</t>
  </si>
  <si>
    <t>5113</t>
  </si>
  <si>
    <t>IMPERIAL BAG AND PAPER COMPANY LLC</t>
  </si>
  <si>
    <t>FREEDMAN, S. AND SONS, INC.</t>
  </si>
  <si>
    <t>3322 PENNSY DRIVE</t>
  </si>
  <si>
    <t>LANDOVER</t>
  </si>
  <si>
    <t>MD</t>
  </si>
  <si>
    <t>20785</t>
  </si>
  <si>
    <t>IMPERIAL BAG AND PAPER COMPANY LLC.</t>
  </si>
  <si>
    <t>3/1/2025</t>
  </si>
  <si>
    <t>2/28/2029</t>
  </si>
  <si>
    <t>424130</t>
  </si>
  <si>
    <t>137977224</t>
  </si>
  <si>
    <t>003256427</t>
  </si>
  <si>
    <t>530216068</t>
  </si>
  <si>
    <t>0639-006281000</t>
  </si>
  <si>
    <t>202101104000</t>
  </si>
  <si>
    <t>Hoisting and conveying occupations (921); Occupations in moving and storing materials and products, n.e.c. (922); Truck drivers, heavy (905); Truck drivers, light (906)</t>
  </si>
  <si>
    <t>Heavy and Tractor-Trailer Truck Drivers (53-3032); Industrial Truck and Tractor Operators (53-7051); Light Truck Drivers (53-3033); Warehouseperson** (53-7066)</t>
  </si>
  <si>
    <t>DRIVER; DRIVER, TRAILER; OPERATOR, FORK LIFT; WAREHOUSEMAN</t>
  </si>
  <si>
    <t>2025-01474-000</t>
  </si>
  <si>
    <t>0320</t>
  </si>
  <si>
    <t>011029201</t>
  </si>
  <si>
    <t>4/16/2025</t>
  </si>
  <si>
    <t>9211</t>
  </si>
  <si>
    <t>KANABEC (COUNTY OF), MINNESOTA</t>
  </si>
  <si>
    <t>KANABEC COUNTY COURTHOUSE</t>
  </si>
  <si>
    <t>18 NORTH VINE STREET</t>
  </si>
  <si>
    <t>MORA</t>
  </si>
  <si>
    <t>MN</t>
  </si>
  <si>
    <t>55051</t>
  </si>
  <si>
    <t>COURTHOUSE UNIT. SEE ATTACHMENT B FOR JOB CLASSIFICATIONS.</t>
  </si>
  <si>
    <t>922110</t>
  </si>
  <si>
    <t>0320-011029201</t>
  </si>
  <si>
    <t>202200100000</t>
  </si>
  <si>
    <t>Accountants and auditors (160); Billing and rate clerks (214); Misc. occupations in machine installation and repair (638); Secretaries (201); Surveying/cartographic occupations (018)</t>
  </si>
  <si>
    <t>Accountants and Auditors (13-2011); Bill and Account Collectors (43-3011); Cartographers and Photogrammetrists (17-1021); Legal Secretaries and Administrative Assistants (43-6012); Maintenance and Repair Workers, General (49-9071)</t>
  </si>
  <si>
    <t>ACCOUNTANT; ASSISTANT, ADMIN; CLERK, COLLECTIONS; TECH, BLD MAINT; TECH, ES/GIS</t>
  </si>
  <si>
    <t>2025-02618-000</t>
  </si>
  <si>
    <t>0340</t>
  </si>
  <si>
    <t>003781350</t>
  </si>
  <si>
    <t>7/14/2025</t>
  </si>
  <si>
    <t>9223</t>
  </si>
  <si>
    <t>CUMBERLAND (COUNTY OF), MAINE</t>
  </si>
  <si>
    <t>CORRECTIONS DEPARTMENT</t>
  </si>
  <si>
    <t>27 NORTHPORT DRIVE</t>
  </si>
  <si>
    <t>ME</t>
  </si>
  <si>
    <t>04103</t>
  </si>
  <si>
    <t>COVERS LIEUTENANTS, FOOD SERVICE MANAGERS, AND SERGEANTS IN THE CORRECTIONS SUPERVISORS UNIT.</t>
  </si>
  <si>
    <t>922140</t>
  </si>
  <si>
    <t>0340-003781350</t>
  </si>
  <si>
    <t>202000239000</t>
  </si>
  <si>
    <t>Food and beverage preparation and service occupations, n.e.c. (319); Security guards and correction officers, except crossing tenders (372)</t>
  </si>
  <si>
    <t>Cooks, Institution and Cafeteria (35-2012); First-Line Supervisors of Correctional Officers (33-1011)</t>
  </si>
  <si>
    <t>LIEUTENANT; MANAGER, FOOD SERV; SERGEANT</t>
  </si>
  <si>
    <t>2025-05543-000</t>
  </si>
  <si>
    <t>0833</t>
  </si>
  <si>
    <t>002177780</t>
  </si>
  <si>
    <t>12/29/2025</t>
  </si>
  <si>
    <t>BIMBO BAKERIES USA, INC.</t>
  </si>
  <si>
    <t>1410 VANDIVER DRIVE</t>
  </si>
  <si>
    <t>COLUMBIA</t>
  </si>
  <si>
    <t>MO</t>
  </si>
  <si>
    <t>65202</t>
  </si>
  <si>
    <t>BBU, INC.</t>
  </si>
  <si>
    <t>6/14/2025</t>
  </si>
  <si>
    <t>6/15/2030</t>
  </si>
  <si>
    <t>COLUMBIA SALES AGREEMENT. FKA EARTHGRAINS BAKERY GROUP, INC.</t>
  </si>
  <si>
    <t>S12</t>
  </si>
  <si>
    <t>810939686</t>
  </si>
  <si>
    <t>808787733</t>
  </si>
  <si>
    <t>079154516</t>
  </si>
  <si>
    <t>BSD012</t>
  </si>
  <si>
    <t>752491201</t>
  </si>
  <si>
    <t>0833-002177780</t>
  </si>
  <si>
    <t>202404943000</t>
  </si>
  <si>
    <t>Packaging and materials handling occupations, n.e.c. (929); Route sales and delivery occupations (292); Truck drivers, light (906)</t>
  </si>
  <si>
    <t>Driver/Sales Workers (53-3031); Laborers and Freight, Stock, and Material Movers, Hand (53-7062); Light Truck Drivers (53-3033)</t>
  </si>
  <si>
    <t>DRIVER, SERVICE; DRIVER-SALESMAN; LOADER</t>
  </si>
  <si>
    <t>2025-04084-000</t>
  </si>
  <si>
    <t>10/2/2025</t>
  </si>
  <si>
    <t>UNIVAR SOLUTIONS USA LLC</t>
  </si>
  <si>
    <t>3940 NORTHWEST YEON AVENUE</t>
  </si>
  <si>
    <t>UNIVAR, INC.</t>
  </si>
  <si>
    <t>8/1/2025</t>
  </si>
  <si>
    <t>7/31/2028</t>
  </si>
  <si>
    <t>APOLLO GLOBAL MANAGEMENT AQUIRED UNIVAR (DUNSULT = 098877053) IN AUG 2023. COVERS MATERIAL HANDLERS. SEE APPENDIX A FOR WAGES.</t>
  </si>
  <si>
    <t>0206-022099770</t>
  </si>
  <si>
    <t>202103870000</t>
  </si>
  <si>
    <t>Packaging and materials handling occupations, n.e.c. (929)</t>
  </si>
  <si>
    <t>First-Line Supervisors of Material-Moving Machine and Vehicle Operators (53-1043); Laborers and Freight, Stock, and Material Movers, Hand (53-7062)</t>
  </si>
  <si>
    <t>HANDLER, MATERIAL; LEAD, HANDLERS</t>
  </si>
  <si>
    <t>2025-03377-000</t>
  </si>
  <si>
    <t>004313953</t>
  </si>
  <si>
    <t>8/18/2025</t>
  </si>
  <si>
    <t>DOUBLE R RACING LLC</t>
  </si>
  <si>
    <t>15930 LOWE AVENUE</t>
  </si>
  <si>
    <t>HARVEY</t>
  </si>
  <si>
    <t>60426</t>
  </si>
  <si>
    <t>COVERS OWNER-DRIVERS</t>
  </si>
  <si>
    <t>097674783</t>
  </si>
  <si>
    <t>0731-004313953</t>
  </si>
  <si>
    <t>2025-05362-000</t>
  </si>
  <si>
    <t>0728</t>
  </si>
  <si>
    <t>030007283</t>
  </si>
  <si>
    <t>12/12/2025</t>
  </si>
  <si>
    <t>7812</t>
  </si>
  <si>
    <t>ANY MEANS PRODUCTIONS LLC</t>
  </si>
  <si>
    <t>JURISDICTION OF LU 728</t>
  </si>
  <si>
    <t>ATLANTA</t>
  </si>
  <si>
    <t>GA</t>
  </si>
  <si>
    <t>30315</t>
  </si>
  <si>
    <t>1/1/2024</t>
  </si>
  <si>
    <t>7/31/2025</t>
  </si>
  <si>
    <t>LOCATION MANAGER AGMT FOR THE PRODUCTION OF "BY ANY MEANS".</t>
  </si>
  <si>
    <t>M01</t>
  </si>
  <si>
    <t>512110</t>
  </si>
  <si>
    <t>136048528</t>
  </si>
  <si>
    <t>MPD001</t>
  </si>
  <si>
    <t>0728-030007283</t>
  </si>
  <si>
    <t>PRODUCER REACHED OUT TO L728 FOR AGREEMENTS</t>
  </si>
  <si>
    <t>Misc. managers and officials, n.e.c. (189); Occupations in motion picture, television and theatrical productions, n.e.c. (962)</t>
  </si>
  <si>
    <t>Facilities Managers (11-3013); Media and Communication Equipment Workers, All Other (27-4099)</t>
  </si>
  <si>
    <t>MANAGER, LOCATION; MGR, ASST LOCATION; MGR, KEY ASST LOC; SCOUT, LOCATION</t>
  </si>
  <si>
    <t>2025-03843-000</t>
  </si>
  <si>
    <t>0214</t>
  </si>
  <si>
    <t>009066501</t>
  </si>
  <si>
    <t>9/17/2025</t>
  </si>
  <si>
    <t>INKSTER (CITY OF), MICHIGAN</t>
  </si>
  <si>
    <t>POLICE DEPARTMENT</t>
  </si>
  <si>
    <t>26279 MICHIGAN AVENUE</t>
  </si>
  <si>
    <t>INKSTER</t>
  </si>
  <si>
    <t>48141</t>
  </si>
  <si>
    <t>6/30/2026</t>
  </si>
  <si>
    <t>COVERS POLICE OFFICERS AND DETECTIVES. SEE ART. 27 FOR WAGES.</t>
  </si>
  <si>
    <t>0214-009066501</t>
  </si>
  <si>
    <t>202300120000</t>
  </si>
  <si>
    <t>Police officers and detectives, public service (375)</t>
  </si>
  <si>
    <t>Detectives and Criminal Investigators (33-3021); Police and SheriffÆs Patrol Officers (33-3051)</t>
  </si>
  <si>
    <t>DETECTIVE; OFFICER, POLICE</t>
  </si>
  <si>
    <t>2025-04465-000</t>
  </si>
  <si>
    <t>0641</t>
  </si>
  <si>
    <t>002177210</t>
  </si>
  <si>
    <t>10/29/2025</t>
  </si>
  <si>
    <t>9511</t>
  </si>
  <si>
    <t>BAYSHORE REGIONAL SEWERAGE AUTHORITY</t>
  </si>
  <si>
    <t>100 OAK STREET</t>
  </si>
  <si>
    <t>UNION BEACH</t>
  </si>
  <si>
    <t>07735</t>
  </si>
  <si>
    <t>924110</t>
  </si>
  <si>
    <t>rtw</t>
  </si>
  <si>
    <t>0641-002177210</t>
  </si>
  <si>
    <t>202103771000</t>
  </si>
  <si>
    <t>Building and related service occupations, n.e.c. (389); Misc. professional, techical and managerial occupations, n.e.c. (199); Occupations in assembly, installation and repair of lighting equipment and building wiring, n.e.c. (824); Occupations in chemist</t>
  </si>
  <si>
    <t>Chemists (19-2031); Electricians (47-2111); Environmental Science and Protection Technicians, Including Health (19-4042); Janitors and Cleaners, Except Maids and Housekeeping Cleaners (37-2011); Water and Wastewater Treatment Plant and System Operators (5</t>
  </si>
  <si>
    <t>CHEMIST; CUSTODIAN; ELECTRICIAN; OPERATOR; TECHNICIAN, LAB.</t>
  </si>
  <si>
    <t>2025-03875-010</t>
  </si>
  <si>
    <t>0301</t>
  </si>
  <si>
    <t>003753520</t>
  </si>
  <si>
    <t>9/19/2025</t>
  </si>
  <si>
    <t>CROSS-FIRE TRUCKING INC.</t>
  </si>
  <si>
    <t>531 LEAH LANE APT. 3D</t>
  </si>
  <si>
    <t>WOODSTOCK</t>
  </si>
  <si>
    <t>60098</t>
  </si>
  <si>
    <t>AREA WIDE OWNER-DRIVER CONSTRUCTION AGMT - LUS 179, 301, 330, 673, 731, 786.</t>
  </si>
  <si>
    <t>088541468</t>
  </si>
  <si>
    <t>0301-003753520</t>
  </si>
  <si>
    <t>TOP DOWN ORGANIZING</t>
  </si>
  <si>
    <t>Owner-Operator (901)</t>
  </si>
  <si>
    <t>OWNER-OPER., TRUCK</t>
  </si>
  <si>
    <t>2025-02790-000</t>
  </si>
  <si>
    <t>001175297</t>
  </si>
  <si>
    <t>7/18/2025</t>
  </si>
  <si>
    <t>AGGREGATE INDUSTRIES, NORTH CENTRAL REGION, INC.</t>
  </si>
  <si>
    <t>READY MIX DIVISION</t>
  </si>
  <si>
    <t>800 HOLIDAY DRIVE</t>
  </si>
  <si>
    <t>MOOREHEAD</t>
  </si>
  <si>
    <t>56560</t>
  </si>
  <si>
    <t>HOLCIM PARTICIPATIONS US, INC.</t>
  </si>
  <si>
    <t>COVERS GRAND FORKS AND FARGO, MOORHEAD AND GRAND FORKS UNITS.  FOREIGN PARENT IS HOLCIM AG LTD OF SWITZERLAND. U.S. HOLDINGS RENAMED TO AZRIM 02/2025.</t>
  </si>
  <si>
    <t>481294690</t>
  </si>
  <si>
    <t>081260273</t>
  </si>
  <si>
    <t>039276410</t>
  </si>
  <si>
    <t>0120-001175297</t>
  </si>
  <si>
    <t>202204530000</t>
  </si>
  <si>
    <t>AMRIZE MIDWEST INC.</t>
  </si>
  <si>
    <t>Truck drivers, heavy (905)</t>
  </si>
  <si>
    <t>DRIVER, READY MIX</t>
  </si>
  <si>
    <t>2025-05133-000</t>
  </si>
  <si>
    <t>0384</t>
  </si>
  <si>
    <t>001412518</t>
  </si>
  <si>
    <t>12/1/2025</t>
  </si>
  <si>
    <t>5812</t>
  </si>
  <si>
    <t>ARAMARK EDUCATIONAL SERVICES, LLC</t>
  </si>
  <si>
    <t>FOOD SERVICE MANAGERS</t>
  </si>
  <si>
    <t>METHACTON SCHOOL DISTRICT</t>
  </si>
  <si>
    <t>1001 KRIEBEL MILL ROAD</t>
  </si>
  <si>
    <t>EAGLEVILLE</t>
  </si>
  <si>
    <t>19403</t>
  </si>
  <si>
    <t>ARAMARK</t>
  </si>
  <si>
    <t>COVERS FOOD SERVICE MANAGERS FOR METHACTON SCHOOL DISTRICT IN MONTGOMERY COUNTY, PA..   INCLUDES ADDENDUM.</t>
  </si>
  <si>
    <t>722310</t>
  </si>
  <si>
    <t>791072197</t>
  </si>
  <si>
    <t>231354443</t>
  </si>
  <si>
    <t>0384-001412518</t>
  </si>
  <si>
    <t>202301849000</t>
  </si>
  <si>
    <t>Kitchen workers, n.e.c. (318); Service industry managers and officials (187)</t>
  </si>
  <si>
    <t>First-Line Supervisors of Food Preparation and Serving Workers (35-1012)</t>
  </si>
  <si>
    <t>LEAD, SITE; MANAGER, KITCHEN</t>
  </si>
  <si>
    <t>2025-00211-000</t>
  </si>
  <si>
    <t>0637</t>
  </si>
  <si>
    <t>010052660</t>
  </si>
  <si>
    <t>1/15/2025</t>
  </si>
  <si>
    <t>JACKSON (COUNTY OF), OHIO</t>
  </si>
  <si>
    <t>SHERIFF'S DEPARTMENT</t>
  </si>
  <si>
    <t>350 PORTSMOUTH STREET</t>
  </si>
  <si>
    <t>JACKSON</t>
  </si>
  <si>
    <t>45640</t>
  </si>
  <si>
    <t>5/15/2023</t>
  </si>
  <si>
    <t>5/14/2025</t>
  </si>
  <si>
    <t>INCLUDES MEMORANDUM OF UNDERSTANDING.</t>
  </si>
  <si>
    <t>0637-010052660</t>
  </si>
  <si>
    <t>201703061000</t>
  </si>
  <si>
    <t>Government service clerks, n.e.c. (243); Misc. clerical occupations, n.e.c. (249); Police officers and detectives, public service (375); Security guards and correction officers, except crossing tenders (372); Sheriffs and bailiffs (377)</t>
  </si>
  <si>
    <t>Correctional Officers and Jailers (33-3012); First-Line Supervisors of Police and Detectives (33-1012); Office Clerks, General (43-9061); Police and SheriffÆs Patrol Officers (33-3051); Public Safety Telecommunicators (43-5031)</t>
  </si>
  <si>
    <t>CLERK, FULL-TIME; DISPATCHER; OFFICER, CORRECTION; SERGEANT; SHERIFF, DEPUTY</t>
  </si>
  <si>
    <t>2025-03415-142</t>
  </si>
  <si>
    <t>8/20/2025</t>
  </si>
  <si>
    <t>CIN321</t>
  </si>
  <si>
    <t>1771</t>
  </si>
  <si>
    <t>A.M. CONCRETE, INC.</t>
  </si>
  <si>
    <t>P.O. BOX 3367</t>
  </si>
  <si>
    <t>THOUSAND OAKS</t>
  </si>
  <si>
    <t>91359</t>
  </si>
  <si>
    <t>6/30/2025</t>
  </si>
  <si>
    <t>355 MEMBERS ACROSS 143 EMPLOYERS. SOUTHERN CALIFORNIA MASTER LABOR AGREEMENT - TEAMSTER JOINT COUNCILS 42 &amp; 87. COVERING LOCAL UNIONS 87, 166, 186, 848, &amp; 986. COVERS CONSTRUCTION DRIVERS AND RELATED WORKERS (SEE ARTICLE XVIII).</t>
  </si>
  <si>
    <t>238990</t>
  </si>
  <si>
    <t>112730890</t>
  </si>
  <si>
    <t>953880420</t>
  </si>
  <si>
    <t>Concrete-mixing-truck drivers (900); Dump-truck drivers (902); Hoisting and conveying occupations (921); Motorized vehicle and engineering equipment mechanics and repairers (620); Welders, cutters and related occupations, n.e.c. (819)</t>
  </si>
  <si>
    <t>Bus and Truck Mechanics and Diesel Engine Specialists (49-3031); Heavy and Tractor-Trailer Truck Drivers (53-3032); Industrial Truck and Tractor Operators (53-7051); Welders, Cutters, Solderers, and Brazers (51-4121)</t>
  </si>
  <si>
    <t>DRIVER, DUMP TRUCK; DRIVER, FORKLIFT; DRIVER, MIXER; REPAIRMAN, TRUCK; WELDER</t>
  </si>
  <si>
    <t>2025-01095-000</t>
  </si>
  <si>
    <t>0542</t>
  </si>
  <si>
    <t>023118530</t>
  </si>
  <si>
    <t>3/18/2025</t>
  </si>
  <si>
    <t>US FOODS, INC.</t>
  </si>
  <si>
    <t>SAN DIEGO DIVISION</t>
  </si>
  <si>
    <t>1201 PARK CENTER DRIVE</t>
  </si>
  <si>
    <t>VISTA</t>
  </si>
  <si>
    <t>92083</t>
  </si>
  <si>
    <t>US FOODS HOLDING CORPORATION</t>
  </si>
  <si>
    <t>4/1/2024</t>
  </si>
  <si>
    <t>3/31/2029</t>
  </si>
  <si>
    <t>424990</t>
  </si>
  <si>
    <t>803900237</t>
  </si>
  <si>
    <t>028139517</t>
  </si>
  <si>
    <t>0542-023118530</t>
  </si>
  <si>
    <t>202104101000</t>
  </si>
  <si>
    <t>Billing and rate clerks (214); Hoisting and conveying occupations (921); Packaging and materials handling occupations, n.e.c. (929); Shipping, receiving, stock and related clerical occupations (222); Truck drivers, heavy (905)</t>
  </si>
  <si>
    <t>Billing and Posting Clerks (43-3021); Heavy and Tractor-Trailer Truck Drivers (53-3032); Industrial Truck and Tractor Operators (53-7051); Shipping, Receiving, and Inventory Clerks (43-5071); Stockers and Order Fillers (53-7065)</t>
  </si>
  <si>
    <t>CLERK, DAY; COORDINATOR, LGSTCS; DRIVER, CLS A SHUTL; OPERATOR, FORKLIFT; SELECTOR</t>
  </si>
  <si>
    <t>2025-00807-000</t>
  </si>
  <si>
    <t>0058</t>
  </si>
  <si>
    <t>003397550</t>
  </si>
  <si>
    <t>2/26/2025</t>
  </si>
  <si>
    <t>9631</t>
  </si>
  <si>
    <t>CASTLE ROCK (CITY OF), WASHINGTON</t>
  </si>
  <si>
    <t>PUBLIC WORKS DEPARTMENT</t>
  </si>
  <si>
    <t>360 A STREET SOUTHWEST</t>
  </si>
  <si>
    <t>CASTLE ROCK</t>
  </si>
  <si>
    <t>98611</t>
  </si>
  <si>
    <t>926130</t>
  </si>
  <si>
    <t>0058-003397550</t>
  </si>
  <si>
    <t>202104566000</t>
  </si>
  <si>
    <t>Mechanics and machinery repairers, n.e.c. (639); Occupations in assembly, installation and repair of lighting equipment and building wiring, n.e.c. (824); Occupations in disposal of refuse and sewage (955); Occupations in filtration, purification and dist</t>
  </si>
  <si>
    <t>Electricians (47-2111); Maintenance and Repair Workers, General (49-9071); Water and Wastewater Treatment Plant and System Operators (51-8031)</t>
  </si>
  <si>
    <t>ELECTRICIAN-CTRL SP; MAINTENANCEMAN; OPERATOR, TRTMT PLT; OPERATOR, WST WATER</t>
  </si>
  <si>
    <t>2025-00717-000</t>
  </si>
  <si>
    <t>0236</t>
  </si>
  <si>
    <t>2/20/2025</t>
  </si>
  <si>
    <t>5125 CHARTER OAK DRIVE</t>
  </si>
  <si>
    <t>PADUCAH</t>
  </si>
  <si>
    <t>KY</t>
  </si>
  <si>
    <t>42001</t>
  </si>
  <si>
    <t>8/18/2024</t>
  </si>
  <si>
    <t>8/18/2029</t>
  </si>
  <si>
    <t>COVERS PADUCAH, KENTUCKY OPERATION (ROUTE SALES PROFESSIONALS).</t>
  </si>
  <si>
    <t>117702128</t>
  </si>
  <si>
    <t>0236-002177780</t>
  </si>
  <si>
    <t>202103820000</t>
  </si>
  <si>
    <t>Route sales and delivery occupations (292)</t>
  </si>
  <si>
    <t>Driver/Sales Workers (53-3031)</t>
  </si>
  <si>
    <t>PRO., ROUTE SALES</t>
  </si>
  <si>
    <t>2025-04473-000</t>
  </si>
  <si>
    <t>0662</t>
  </si>
  <si>
    <t>019186450</t>
  </si>
  <si>
    <t>10/30/2025</t>
  </si>
  <si>
    <t>2022</t>
  </si>
  <si>
    <t>SCHREIBER FOODS, INC.</t>
  </si>
  <si>
    <t>1695 MILLS STREET</t>
  </si>
  <si>
    <t>GREEN BAY</t>
  </si>
  <si>
    <t>WI</t>
  </si>
  <si>
    <t>54302</t>
  </si>
  <si>
    <t>COVERS PRODUCTION AND MAINTENANCE WORKERS AT THE COMPANY'S GREEN BAY PRODUCTION PLANT AND DISTRIBUTION CENTER.</t>
  </si>
  <si>
    <t>G03</t>
  </si>
  <si>
    <t>311513</t>
  </si>
  <si>
    <t>002812865</t>
  </si>
  <si>
    <t>041061917</t>
  </si>
  <si>
    <t>FPD003</t>
  </si>
  <si>
    <t>391017450</t>
  </si>
  <si>
    <t>0662-019186450</t>
  </si>
  <si>
    <t>202303253000</t>
  </si>
  <si>
    <t>Janitors (382); Misc. professional, techical and managerial occupations, n.e.c. (199); Mixing, compounding, blendingm kneading, shaping and related occupations (520); Occupations in assembly, installation and repair of lighting equipment and building wiri</t>
  </si>
  <si>
    <t>Cutting and Slicing Machine Setters, Operators, and Tenders (51-9032); Electricians (47-2111); Food Cooking Machine Operators and Tenders (51-3093); Inspectors, Testers, Sorters, Samplers, and Weighers (51-9061); Janitors and Cleaners, Except Maids and Ho</t>
  </si>
  <si>
    <t>ELECTRICIAN; JANITOR; OPERATOR, BLENDER; OPERATOR, SLICER; TECHNICIAN, LAB</t>
  </si>
  <si>
    <t>Code</t>
  </si>
  <si>
    <t>Rationale</t>
  </si>
  <si>
    <t>Key</t>
  </si>
  <si>
    <t>Single code sufficient</t>
  </si>
  <si>
    <t>Several codes required</t>
  </si>
  <si>
    <t>Unclear</t>
  </si>
  <si>
    <t>Administrators of several distinct services</t>
  </si>
  <si>
    <t>Print shop</t>
  </si>
  <si>
    <t>Beer distributor only</t>
  </si>
  <si>
    <t>Uniform rental only</t>
  </si>
  <si>
    <t>scheduled air transport only</t>
  </si>
  <si>
    <t>Road construction, foundation, concrete finishing</t>
  </si>
  <si>
    <t>Labor union staff</t>
  </si>
  <si>
    <t>Coca-cola bottler only</t>
  </si>
  <si>
    <t>Local trucking only</t>
  </si>
  <si>
    <t>Lumber, wood panel merchant wholesalers only</t>
  </si>
  <si>
    <t>Several food manufacturing/canning related industries</t>
  </si>
  <si>
    <t>Police support only</t>
  </si>
  <si>
    <t>Utilities infrastructure construction</t>
  </si>
  <si>
    <t>grocery wholesale only</t>
  </si>
  <si>
    <t>gases, related equipment, accessories, tools, etc</t>
  </si>
  <si>
    <t>gases, merchandise, related equipment, services</t>
  </si>
  <si>
    <t>general and cross cutting</t>
  </si>
  <si>
    <t>museum only</t>
  </si>
  <si>
    <t>wholesale rice distro only</t>
  </si>
  <si>
    <t>public works, administrative, etc.</t>
  </si>
  <si>
    <t>court security only</t>
  </si>
  <si>
    <t>airport operations only</t>
  </si>
  <si>
    <t>highway maintenance only</t>
  </si>
  <si>
    <t>furniture store only</t>
  </si>
  <si>
    <t>federal contract supporting various federal services</t>
  </si>
  <si>
    <t>ready-mix concrete only</t>
  </si>
  <si>
    <t>poultry processing only</t>
  </si>
  <si>
    <t>outpatient mental health center only</t>
  </si>
  <si>
    <t>school bus drivers only</t>
  </si>
  <si>
    <t>bus operations only</t>
  </si>
  <si>
    <t>cleaning supplies, chemicals, paper and plastics</t>
  </si>
  <si>
    <t>court operations only</t>
  </si>
  <si>
    <t>corrections operations only</t>
  </si>
  <si>
    <t>bakery wholesale only</t>
  </si>
  <si>
    <t>motion picture production only</t>
  </si>
  <si>
    <t>police only</t>
  </si>
  <si>
    <t>sewage operations only</t>
  </si>
  <si>
    <t>ready-mix concrete, sand, gravel</t>
  </si>
  <si>
    <t>food service contractor only</t>
  </si>
  <si>
    <t>sheriff's department only</t>
  </si>
  <si>
    <t>full-service concrete work from transport to finishing</t>
  </si>
  <si>
    <t>various public infrastructure support roles</t>
  </si>
  <si>
    <t>dairy production only</t>
  </si>
  <si>
    <t>Total single-code</t>
  </si>
  <si>
    <t>Total several code</t>
  </si>
  <si>
    <t>% single-code</t>
  </si>
  <si>
    <t>% several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</si>
</sst>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14" fontId="4" fillId="4" borderId="3" xfId="0" applyNumberFormat="1" applyFont="1" applyFill="1" applyBorder="1" applyAlignment="1">
      <alignment horizontal="right"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6" fillId="6" borderId="5" xfId="0" applyFont="1" applyFill="1" applyBorder="1" applyAlignment="1">
      <alignment horizontal="right" vertical="center" wrapText="1"/>
    </xf>
    <xf numFmtId="22" fontId="7" fillId="7" borderId="6" xfId="0" applyNumberFormat="1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vertical="center" wrapText="1"/>
    </xf>
    <xf numFmtId="0" fontId="2" fillId="7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tabSelected="1" topLeftCell="H30" zoomScaleNormal="100" workbookViewId="0">
      <selection activeCell="S31" sqref="S31"/>
    </sheetView>
  </sheetViews>
  <sheetFormatPr defaultRowHeight="15" x14ac:dyDescent="0.25"/>
  <cols>
    <col min="1" max="1" width="15.28515625" hidden="1" customWidth="1"/>
    <col min="2" max="7" width="14" hidden="1" customWidth="1"/>
    <col min="8" max="8" width="32.85546875" customWidth="1"/>
    <col min="9" max="9" width="21.7109375" customWidth="1"/>
    <col min="10" max="17" width="14" hidden="1" customWidth="1"/>
    <col min="18" max="18" width="9.5703125" hidden="1" customWidth="1"/>
    <col min="19" max="19" width="39.5703125" customWidth="1"/>
    <col min="20" max="22" width="14" hidden="1" customWidth="1"/>
    <col min="23" max="23" width="14" customWidth="1"/>
    <col min="24" max="43" width="14" hidden="1" customWidth="1"/>
    <col min="44" max="45" width="14" customWidth="1"/>
    <col min="46" max="46" width="14" hidden="1" customWidth="1"/>
    <col min="47" max="48" width="14" customWidth="1"/>
    <col min="49" max="49" width="53" customWidth="1"/>
    <col min="50" max="50" width="17.28515625" bestFit="1" customWidth="1"/>
    <col min="51" max="51" width="24.85546875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7" t="s">
        <v>1046</v>
      </c>
      <c r="AY1" s="7" t="s">
        <v>1047</v>
      </c>
      <c r="BB1" s="8" t="s">
        <v>1048</v>
      </c>
    </row>
    <row r="2" spans="1:55" ht="285" x14ac:dyDescent="0.25">
      <c r="A2" s="2" t="s">
        <v>49</v>
      </c>
      <c r="B2" s="2" t="s">
        <v>50</v>
      </c>
      <c r="C2" s="2" t="s">
        <v>51</v>
      </c>
      <c r="D2" s="3" t="s">
        <v>52</v>
      </c>
      <c r="E2" s="2" t="s">
        <v>53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53</v>
      </c>
      <c r="L2" s="2" t="s">
        <v>58</v>
      </c>
      <c r="M2" s="2" t="s">
        <v>59</v>
      </c>
      <c r="N2" s="2" t="s">
        <v>60</v>
      </c>
      <c r="O2" s="2" t="s">
        <v>53</v>
      </c>
      <c r="P2" s="3" t="s">
        <v>61</v>
      </c>
      <c r="Q2" s="3" t="s">
        <v>62</v>
      </c>
      <c r="R2" s="4">
        <v>93</v>
      </c>
      <c r="S2" s="2" t="s">
        <v>63</v>
      </c>
      <c r="T2" s="2" t="s">
        <v>64</v>
      </c>
      <c r="U2" s="2" t="s">
        <v>65</v>
      </c>
      <c r="V2" s="5" t="b">
        <v>0</v>
      </c>
      <c r="W2" s="2" t="s">
        <v>66</v>
      </c>
      <c r="X2" s="5" t="b">
        <v>0</v>
      </c>
      <c r="Y2" s="2" t="s">
        <v>53</v>
      </c>
      <c r="Z2" s="2" t="s">
        <v>53</v>
      </c>
      <c r="AA2" s="2" t="s">
        <v>53</v>
      </c>
      <c r="AB2" s="5" t="b">
        <v>0</v>
      </c>
      <c r="AC2" s="5" t="b">
        <v>0</v>
      </c>
      <c r="AD2" s="2" t="s">
        <v>67</v>
      </c>
      <c r="AE2" s="2" t="s">
        <v>53</v>
      </c>
      <c r="AF2" s="2" t="s">
        <v>53</v>
      </c>
      <c r="AG2" s="2" t="s">
        <v>32</v>
      </c>
      <c r="AH2" s="6">
        <v>45979.494363425903</v>
      </c>
      <c r="AI2" s="5" t="b">
        <v>0</v>
      </c>
      <c r="AJ2" s="2" t="s">
        <v>68</v>
      </c>
      <c r="AL2" s="2" t="s">
        <v>53</v>
      </c>
      <c r="AM2" s="2" t="s">
        <v>53</v>
      </c>
      <c r="AO2" s="2" t="s">
        <v>53</v>
      </c>
      <c r="AP2" s="2" t="s">
        <v>64</v>
      </c>
      <c r="AQ2" s="2" t="s">
        <v>53</v>
      </c>
      <c r="AR2" s="2" t="s">
        <v>53</v>
      </c>
      <c r="AS2" s="2" t="s">
        <v>53</v>
      </c>
      <c r="AT2" s="4">
        <v>2</v>
      </c>
      <c r="AU2" s="2" t="s">
        <v>69</v>
      </c>
      <c r="AV2" s="2" t="s">
        <v>70</v>
      </c>
      <c r="AW2" s="2" t="s">
        <v>71</v>
      </c>
      <c r="AX2">
        <v>1</v>
      </c>
      <c r="AY2" s="9" t="s">
        <v>1052</v>
      </c>
      <c r="BB2">
        <v>0</v>
      </c>
      <c r="BC2" t="s">
        <v>1049</v>
      </c>
    </row>
    <row r="3" spans="1:55" ht="240" x14ac:dyDescent="0.25">
      <c r="A3" s="2" t="s">
        <v>72</v>
      </c>
      <c r="B3" s="2" t="s">
        <v>73</v>
      </c>
      <c r="C3" s="2" t="s">
        <v>74</v>
      </c>
      <c r="D3" s="3" t="s">
        <v>75</v>
      </c>
      <c r="E3" s="2" t="s">
        <v>53</v>
      </c>
      <c r="F3" s="2" t="s">
        <v>53</v>
      </c>
      <c r="G3" s="2" t="s">
        <v>76</v>
      </c>
      <c r="H3" s="2" t="s">
        <v>77</v>
      </c>
      <c r="I3" s="2" t="s">
        <v>53</v>
      </c>
      <c r="J3" s="2" t="s">
        <v>78</v>
      </c>
      <c r="K3" s="2" t="s">
        <v>53</v>
      </c>
      <c r="L3" s="2" t="s">
        <v>79</v>
      </c>
      <c r="M3" s="2" t="s">
        <v>80</v>
      </c>
      <c r="N3" s="2" t="s">
        <v>81</v>
      </c>
      <c r="O3" s="2" t="s">
        <v>53</v>
      </c>
      <c r="P3" s="3" t="s">
        <v>82</v>
      </c>
      <c r="Q3" s="3" t="s">
        <v>83</v>
      </c>
      <c r="R3" s="4">
        <v>5</v>
      </c>
      <c r="S3" s="2" t="s">
        <v>53</v>
      </c>
      <c r="T3" s="2" t="s">
        <v>84</v>
      </c>
      <c r="U3" s="2" t="s">
        <v>85</v>
      </c>
      <c r="V3" s="5" t="b">
        <v>0</v>
      </c>
      <c r="W3" s="2" t="s">
        <v>86</v>
      </c>
      <c r="X3" s="5" t="b">
        <v>1</v>
      </c>
      <c r="Y3" s="2" t="s">
        <v>53</v>
      </c>
      <c r="Z3" s="2" t="s">
        <v>53</v>
      </c>
      <c r="AA3" s="2" t="s">
        <v>87</v>
      </c>
      <c r="AB3" s="5" t="b">
        <v>0</v>
      </c>
      <c r="AC3" s="5" t="b">
        <v>0</v>
      </c>
      <c r="AD3" s="2" t="s">
        <v>88</v>
      </c>
      <c r="AE3" s="2" t="s">
        <v>53</v>
      </c>
      <c r="AF3" s="2" t="s">
        <v>89</v>
      </c>
      <c r="AG3" s="2" t="s">
        <v>90</v>
      </c>
      <c r="AH3" s="6">
        <v>45854.529444444401</v>
      </c>
      <c r="AI3" s="5" t="b">
        <v>0</v>
      </c>
      <c r="AJ3" s="2" t="s">
        <v>91</v>
      </c>
      <c r="AL3" s="2" t="s">
        <v>53</v>
      </c>
      <c r="AM3" s="2" t="s">
        <v>53</v>
      </c>
      <c r="AO3" s="2" t="s">
        <v>53</v>
      </c>
      <c r="AP3" s="2" t="s">
        <v>84</v>
      </c>
      <c r="AQ3" s="2" t="s">
        <v>92</v>
      </c>
      <c r="AR3" s="2" t="s">
        <v>53</v>
      </c>
      <c r="AS3" s="2" t="s">
        <v>53</v>
      </c>
      <c r="AT3" s="4">
        <v>1</v>
      </c>
      <c r="AU3" s="2" t="s">
        <v>93</v>
      </c>
      <c r="AV3" s="2" t="s">
        <v>94</v>
      </c>
      <c r="AW3" s="2" t="s">
        <v>95</v>
      </c>
      <c r="AX3">
        <v>0</v>
      </c>
      <c r="AY3" s="9" t="s">
        <v>1053</v>
      </c>
      <c r="BB3">
        <v>1</v>
      </c>
      <c r="BC3" t="s">
        <v>1050</v>
      </c>
    </row>
    <row r="4" spans="1:55" ht="180" x14ac:dyDescent="0.25">
      <c r="A4" s="2" t="s">
        <v>96</v>
      </c>
      <c r="B4" s="2" t="s">
        <v>97</v>
      </c>
      <c r="C4" s="2" t="s">
        <v>98</v>
      </c>
      <c r="D4" s="3" t="s">
        <v>99</v>
      </c>
      <c r="E4" s="2" t="s">
        <v>53</v>
      </c>
      <c r="F4" s="2" t="s">
        <v>53</v>
      </c>
      <c r="G4" s="2" t="s">
        <v>100</v>
      </c>
      <c r="H4" s="2" t="s">
        <v>101</v>
      </c>
      <c r="I4" s="2" t="s">
        <v>53</v>
      </c>
      <c r="J4" s="2" t="s">
        <v>102</v>
      </c>
      <c r="K4" s="2" t="s">
        <v>53</v>
      </c>
      <c r="L4" s="2" t="s">
        <v>103</v>
      </c>
      <c r="M4" s="2" t="s">
        <v>104</v>
      </c>
      <c r="N4" s="2" t="s">
        <v>105</v>
      </c>
      <c r="O4" s="2" t="s">
        <v>106</v>
      </c>
      <c r="P4" s="3" t="s">
        <v>107</v>
      </c>
      <c r="Q4" s="3" t="s">
        <v>108</v>
      </c>
      <c r="R4" s="4">
        <v>33</v>
      </c>
      <c r="S4" s="2" t="s">
        <v>53</v>
      </c>
      <c r="T4" s="2" t="s">
        <v>109</v>
      </c>
      <c r="U4" s="2" t="s">
        <v>110</v>
      </c>
      <c r="V4" s="5" t="b">
        <v>0</v>
      </c>
      <c r="W4" s="2" t="s">
        <v>111</v>
      </c>
      <c r="X4" s="5" t="b">
        <v>0</v>
      </c>
      <c r="Y4" s="2" t="s">
        <v>53</v>
      </c>
      <c r="Z4" s="2" t="s">
        <v>112</v>
      </c>
      <c r="AA4" s="2" t="s">
        <v>113</v>
      </c>
      <c r="AB4" s="5" t="b">
        <v>1</v>
      </c>
      <c r="AC4" s="5" t="b">
        <v>0</v>
      </c>
      <c r="AD4" s="2" t="s">
        <v>114</v>
      </c>
      <c r="AE4" s="2" t="s">
        <v>53</v>
      </c>
      <c r="AF4" s="2" t="s">
        <v>115</v>
      </c>
      <c r="AG4" s="2" t="s">
        <v>32</v>
      </c>
      <c r="AH4" s="6">
        <v>45768.5456134259</v>
      </c>
      <c r="AI4" s="5" t="b">
        <v>0</v>
      </c>
      <c r="AJ4" s="2" t="s">
        <v>116</v>
      </c>
      <c r="AK4" s="4">
        <v>1</v>
      </c>
      <c r="AL4" s="2" t="s">
        <v>117</v>
      </c>
      <c r="AM4" s="2" t="s">
        <v>101</v>
      </c>
      <c r="AN4" s="3">
        <v>45526</v>
      </c>
      <c r="AO4" s="2" t="s">
        <v>53</v>
      </c>
      <c r="AP4" s="2" t="s">
        <v>109</v>
      </c>
      <c r="AQ4" s="2" t="s">
        <v>53</v>
      </c>
      <c r="AR4" s="2" t="s">
        <v>53</v>
      </c>
      <c r="AS4" s="2" t="s">
        <v>53</v>
      </c>
      <c r="AT4" s="4">
        <v>1</v>
      </c>
      <c r="AU4" s="2" t="s">
        <v>118</v>
      </c>
      <c r="AV4" s="2" t="s">
        <v>119</v>
      </c>
      <c r="AW4" s="2" t="s">
        <v>120</v>
      </c>
      <c r="AX4">
        <v>0</v>
      </c>
      <c r="AY4" s="9" t="s">
        <v>1054</v>
      </c>
      <c r="BB4">
        <v>2</v>
      </c>
      <c r="BC4" t="s">
        <v>1051</v>
      </c>
    </row>
    <row r="5" spans="1:55" ht="60" x14ac:dyDescent="0.25">
      <c r="A5" s="2" t="s">
        <v>121</v>
      </c>
      <c r="B5" s="2" t="s">
        <v>122</v>
      </c>
      <c r="C5" s="2" t="s">
        <v>123</v>
      </c>
      <c r="D5" s="3" t="s">
        <v>124</v>
      </c>
      <c r="E5" s="2" t="s">
        <v>53</v>
      </c>
      <c r="F5" s="2" t="s">
        <v>53</v>
      </c>
      <c r="G5" s="2" t="s">
        <v>125</v>
      </c>
      <c r="H5" s="2" t="s">
        <v>126</v>
      </c>
      <c r="I5" s="2" t="s">
        <v>53</v>
      </c>
      <c r="J5" s="2" t="s">
        <v>127</v>
      </c>
      <c r="K5" s="2" t="s">
        <v>53</v>
      </c>
      <c r="L5" s="2" t="s">
        <v>128</v>
      </c>
      <c r="M5" s="2" t="s">
        <v>129</v>
      </c>
      <c r="N5" s="2" t="s">
        <v>130</v>
      </c>
      <c r="O5" s="2" t="s">
        <v>131</v>
      </c>
      <c r="P5" s="3" t="s">
        <v>132</v>
      </c>
      <c r="Q5" s="3" t="s">
        <v>133</v>
      </c>
      <c r="R5" s="4">
        <v>22</v>
      </c>
      <c r="S5" s="2" t="s">
        <v>134</v>
      </c>
      <c r="T5" s="2" t="s">
        <v>135</v>
      </c>
      <c r="U5" s="2" t="s">
        <v>136</v>
      </c>
      <c r="V5" s="5" t="b">
        <v>0</v>
      </c>
      <c r="W5" s="2" t="s">
        <v>137</v>
      </c>
      <c r="X5" s="5" t="b">
        <v>0</v>
      </c>
      <c r="Y5" s="2" t="s">
        <v>53</v>
      </c>
      <c r="Z5" s="2" t="s">
        <v>138</v>
      </c>
      <c r="AA5" s="2" t="s">
        <v>139</v>
      </c>
      <c r="AB5" s="5" t="b">
        <v>0</v>
      </c>
      <c r="AC5" s="5" t="b">
        <v>0</v>
      </c>
      <c r="AD5" s="2" t="s">
        <v>140</v>
      </c>
      <c r="AE5" s="2" t="s">
        <v>53</v>
      </c>
      <c r="AF5" s="2" t="s">
        <v>53</v>
      </c>
      <c r="AG5" s="2" t="s">
        <v>90</v>
      </c>
      <c r="AH5" s="6">
        <v>45814.469224537002</v>
      </c>
      <c r="AI5" s="5" t="b">
        <v>0</v>
      </c>
      <c r="AJ5" s="2" t="s">
        <v>141</v>
      </c>
      <c r="AL5" s="2" t="s">
        <v>53</v>
      </c>
      <c r="AM5" s="2" t="s">
        <v>53</v>
      </c>
      <c r="AO5" s="2" t="s">
        <v>53</v>
      </c>
      <c r="AP5" s="2" t="s">
        <v>135</v>
      </c>
      <c r="AQ5" s="2" t="s">
        <v>142</v>
      </c>
      <c r="AR5" s="2" t="s">
        <v>143</v>
      </c>
      <c r="AS5" s="2" t="s">
        <v>53</v>
      </c>
      <c r="AT5" s="4">
        <v>1</v>
      </c>
      <c r="AU5" s="2" t="s">
        <v>144</v>
      </c>
      <c r="AV5" s="2" t="s">
        <v>145</v>
      </c>
      <c r="AW5" s="2" t="s">
        <v>146</v>
      </c>
      <c r="AX5">
        <v>0</v>
      </c>
      <c r="AY5" s="10" t="s">
        <v>1055</v>
      </c>
    </row>
    <row r="6" spans="1:55" ht="120" x14ac:dyDescent="0.25">
      <c r="A6" s="2" t="s">
        <v>147</v>
      </c>
      <c r="B6" s="2" t="s">
        <v>148</v>
      </c>
      <c r="C6" s="2" t="s">
        <v>149</v>
      </c>
      <c r="D6" s="3" t="s">
        <v>150</v>
      </c>
      <c r="E6" s="2" t="s">
        <v>53</v>
      </c>
      <c r="F6" s="2" t="s">
        <v>53</v>
      </c>
      <c r="G6" s="2" t="s">
        <v>151</v>
      </c>
      <c r="H6" s="2" t="s">
        <v>152</v>
      </c>
      <c r="I6" s="2" t="s">
        <v>153</v>
      </c>
      <c r="J6" s="2" t="s">
        <v>154</v>
      </c>
      <c r="K6" s="2" t="s">
        <v>53</v>
      </c>
      <c r="L6" s="2" t="s">
        <v>155</v>
      </c>
      <c r="M6" s="2" t="s">
        <v>156</v>
      </c>
      <c r="N6" s="2" t="s">
        <v>157</v>
      </c>
      <c r="O6" s="2" t="s">
        <v>158</v>
      </c>
      <c r="P6" s="3" t="s">
        <v>159</v>
      </c>
      <c r="Q6" s="3" t="s">
        <v>160</v>
      </c>
      <c r="R6" s="4">
        <v>55</v>
      </c>
      <c r="S6" s="2" t="s">
        <v>161</v>
      </c>
      <c r="T6" s="2" t="s">
        <v>135</v>
      </c>
      <c r="U6" s="2" t="s">
        <v>162</v>
      </c>
      <c r="V6" s="5" t="b">
        <v>0</v>
      </c>
      <c r="W6" s="2" t="s">
        <v>163</v>
      </c>
      <c r="X6" s="5" t="b">
        <v>1</v>
      </c>
      <c r="Y6" s="2" t="s">
        <v>53</v>
      </c>
      <c r="Z6" s="2" t="s">
        <v>164</v>
      </c>
      <c r="AA6" s="2" t="s">
        <v>165</v>
      </c>
      <c r="AB6" s="5" t="b">
        <v>0</v>
      </c>
      <c r="AC6" s="5" t="b">
        <v>0</v>
      </c>
      <c r="AD6" s="2" t="s">
        <v>166</v>
      </c>
      <c r="AE6" s="2" t="s">
        <v>53</v>
      </c>
      <c r="AF6" s="2" t="s">
        <v>167</v>
      </c>
      <c r="AG6" s="2" t="s">
        <v>90</v>
      </c>
      <c r="AH6" s="6">
        <v>45727.468738425901</v>
      </c>
      <c r="AI6" s="5" t="b">
        <v>0</v>
      </c>
      <c r="AJ6" s="2" t="s">
        <v>168</v>
      </c>
      <c r="AL6" s="2" t="s">
        <v>53</v>
      </c>
      <c r="AM6" s="2" t="s">
        <v>53</v>
      </c>
      <c r="AO6" s="2" t="s">
        <v>53</v>
      </c>
      <c r="AP6" s="2" t="s">
        <v>135</v>
      </c>
      <c r="AQ6" s="2" t="s">
        <v>169</v>
      </c>
      <c r="AR6" s="2" t="s">
        <v>53</v>
      </c>
      <c r="AS6" s="2" t="s">
        <v>53</v>
      </c>
      <c r="AT6" s="4">
        <v>2</v>
      </c>
      <c r="AU6" s="2" t="s">
        <v>170</v>
      </c>
      <c r="AV6" s="2" t="s">
        <v>171</v>
      </c>
      <c r="AW6" s="2" t="s">
        <v>172</v>
      </c>
      <c r="AX6">
        <v>0</v>
      </c>
      <c r="AY6" s="10" t="s">
        <v>1056</v>
      </c>
    </row>
    <row r="7" spans="1:55" ht="330" x14ac:dyDescent="0.25">
      <c r="A7" s="2" t="s">
        <v>173</v>
      </c>
      <c r="B7" s="2" t="s">
        <v>174</v>
      </c>
      <c r="C7" s="2" t="s">
        <v>175</v>
      </c>
      <c r="D7" s="3" t="s">
        <v>176</v>
      </c>
      <c r="E7" s="2" t="s">
        <v>53</v>
      </c>
      <c r="F7" s="2" t="s">
        <v>177</v>
      </c>
      <c r="G7" s="2" t="s">
        <v>178</v>
      </c>
      <c r="H7" s="2" t="s">
        <v>179</v>
      </c>
      <c r="I7" s="2" t="s">
        <v>53</v>
      </c>
      <c r="J7" s="2" t="s">
        <v>180</v>
      </c>
      <c r="K7" s="2" t="s">
        <v>53</v>
      </c>
      <c r="L7" s="2" t="s">
        <v>181</v>
      </c>
      <c r="M7" s="2" t="s">
        <v>59</v>
      </c>
      <c r="N7" s="2" t="s">
        <v>182</v>
      </c>
      <c r="O7" s="2" t="s">
        <v>179</v>
      </c>
      <c r="P7" s="3" t="s">
        <v>183</v>
      </c>
      <c r="Q7" s="3" t="s">
        <v>184</v>
      </c>
      <c r="R7" s="4">
        <v>2</v>
      </c>
      <c r="S7" s="2" t="s">
        <v>185</v>
      </c>
      <c r="T7" s="2" t="s">
        <v>109</v>
      </c>
      <c r="U7" s="2" t="s">
        <v>186</v>
      </c>
      <c r="V7" s="5" t="b">
        <v>0</v>
      </c>
      <c r="W7" s="2" t="s">
        <v>187</v>
      </c>
      <c r="X7" s="5" t="b">
        <v>1</v>
      </c>
      <c r="Y7" s="2" t="s">
        <v>53</v>
      </c>
      <c r="Z7" s="2" t="s">
        <v>188</v>
      </c>
      <c r="AA7" s="2" t="s">
        <v>188</v>
      </c>
      <c r="AB7" s="5" t="b">
        <v>0</v>
      </c>
      <c r="AC7" s="5" t="b">
        <v>0</v>
      </c>
      <c r="AD7" s="2" t="s">
        <v>189</v>
      </c>
      <c r="AE7" s="2" t="s">
        <v>53</v>
      </c>
      <c r="AF7" s="2" t="s">
        <v>190</v>
      </c>
      <c r="AG7" s="2" t="s">
        <v>90</v>
      </c>
      <c r="AH7" s="6">
        <v>45819.393425925897</v>
      </c>
      <c r="AI7" s="5" t="b">
        <v>0</v>
      </c>
      <c r="AJ7" s="2" t="s">
        <v>191</v>
      </c>
      <c r="AL7" s="2" t="s">
        <v>53</v>
      </c>
      <c r="AM7" s="2" t="s">
        <v>53</v>
      </c>
      <c r="AO7" s="2" t="s">
        <v>53</v>
      </c>
      <c r="AP7" s="2" t="s">
        <v>109</v>
      </c>
      <c r="AQ7" s="2" t="s">
        <v>53</v>
      </c>
      <c r="AR7" s="2" t="s">
        <v>53</v>
      </c>
      <c r="AS7" s="2" t="s">
        <v>53</v>
      </c>
      <c r="AT7" s="4">
        <v>2</v>
      </c>
      <c r="AU7" s="2" t="s">
        <v>192</v>
      </c>
      <c r="AV7" s="2" t="s">
        <v>193</v>
      </c>
      <c r="AW7" s="2" t="s">
        <v>194</v>
      </c>
      <c r="AX7">
        <v>1</v>
      </c>
      <c r="AY7" s="10" t="s">
        <v>1057</v>
      </c>
    </row>
    <row r="8" spans="1:55" ht="165" x14ac:dyDescent="0.25">
      <c r="A8" s="2" t="s">
        <v>195</v>
      </c>
      <c r="B8" s="2" t="s">
        <v>196</v>
      </c>
      <c r="C8" s="2" t="s">
        <v>197</v>
      </c>
      <c r="D8" s="3" t="s">
        <v>198</v>
      </c>
      <c r="E8" s="2" t="s">
        <v>53</v>
      </c>
      <c r="F8" s="2" t="s">
        <v>53</v>
      </c>
      <c r="G8" s="2" t="s">
        <v>199</v>
      </c>
      <c r="H8" s="2" t="s">
        <v>200</v>
      </c>
      <c r="I8" s="2" t="s">
        <v>53</v>
      </c>
      <c r="J8" s="2" t="s">
        <v>201</v>
      </c>
      <c r="K8" s="2" t="s">
        <v>53</v>
      </c>
      <c r="L8" s="2" t="s">
        <v>202</v>
      </c>
      <c r="M8" s="2" t="s">
        <v>203</v>
      </c>
      <c r="N8" s="2" t="s">
        <v>204</v>
      </c>
      <c r="O8" s="2" t="s">
        <v>53</v>
      </c>
      <c r="P8" s="3" t="s">
        <v>183</v>
      </c>
      <c r="Q8" s="3" t="s">
        <v>184</v>
      </c>
      <c r="R8" s="4">
        <v>2</v>
      </c>
      <c r="S8" s="2" t="s">
        <v>205</v>
      </c>
      <c r="T8" s="2" t="s">
        <v>84</v>
      </c>
      <c r="U8" s="2" t="s">
        <v>206</v>
      </c>
      <c r="V8" s="5" t="b">
        <v>0</v>
      </c>
      <c r="W8" s="2" t="s">
        <v>207</v>
      </c>
      <c r="X8" s="5" t="b">
        <v>0</v>
      </c>
      <c r="Y8" s="2" t="s">
        <v>53</v>
      </c>
      <c r="Z8" s="2" t="s">
        <v>53</v>
      </c>
      <c r="AA8" s="2" t="s">
        <v>208</v>
      </c>
      <c r="AB8" s="5" t="b">
        <v>0</v>
      </c>
      <c r="AC8" s="5" t="b">
        <v>0</v>
      </c>
      <c r="AD8" s="2" t="s">
        <v>209</v>
      </c>
      <c r="AE8" s="2" t="s">
        <v>53</v>
      </c>
      <c r="AF8" s="2" t="s">
        <v>53</v>
      </c>
      <c r="AG8" s="2" t="s">
        <v>90</v>
      </c>
      <c r="AH8" s="6">
        <v>45860.383067129602</v>
      </c>
      <c r="AI8" s="5" t="b">
        <v>0</v>
      </c>
      <c r="AJ8" s="2" t="s">
        <v>210</v>
      </c>
      <c r="AL8" s="2" t="s">
        <v>53</v>
      </c>
      <c r="AM8" s="2" t="s">
        <v>53</v>
      </c>
      <c r="AO8" s="2" t="s">
        <v>53</v>
      </c>
      <c r="AP8" s="2" t="s">
        <v>84</v>
      </c>
      <c r="AQ8" s="2" t="s">
        <v>211</v>
      </c>
      <c r="AR8" s="2" t="s">
        <v>53</v>
      </c>
      <c r="AS8" s="2" t="s">
        <v>53</v>
      </c>
      <c r="AT8" s="4">
        <v>1</v>
      </c>
      <c r="AU8" s="2" t="s">
        <v>212</v>
      </c>
      <c r="AV8" s="2" t="s">
        <v>213</v>
      </c>
      <c r="AW8" s="2" t="s">
        <v>214</v>
      </c>
      <c r="AX8">
        <v>0</v>
      </c>
      <c r="AY8" s="10" t="s">
        <v>1058</v>
      </c>
    </row>
    <row r="9" spans="1:55" ht="270" x14ac:dyDescent="0.25">
      <c r="A9" s="2" t="s">
        <v>215</v>
      </c>
      <c r="B9" s="2" t="s">
        <v>216</v>
      </c>
      <c r="C9" s="2" t="s">
        <v>217</v>
      </c>
      <c r="D9" s="3" t="s">
        <v>198</v>
      </c>
      <c r="E9" s="2" t="s">
        <v>53</v>
      </c>
      <c r="F9" s="2" t="s">
        <v>53</v>
      </c>
      <c r="G9" s="2" t="s">
        <v>218</v>
      </c>
      <c r="H9" s="2" t="s">
        <v>219</v>
      </c>
      <c r="I9" s="2" t="s">
        <v>53</v>
      </c>
      <c r="J9" s="2" t="s">
        <v>220</v>
      </c>
      <c r="K9" s="2" t="s">
        <v>53</v>
      </c>
      <c r="L9" s="2" t="s">
        <v>221</v>
      </c>
      <c r="M9" s="2" t="s">
        <v>156</v>
      </c>
      <c r="N9" s="2" t="s">
        <v>222</v>
      </c>
      <c r="O9" s="2" t="s">
        <v>223</v>
      </c>
      <c r="P9" s="3" t="s">
        <v>224</v>
      </c>
      <c r="Q9" s="3" t="s">
        <v>225</v>
      </c>
      <c r="R9" s="4">
        <v>41</v>
      </c>
      <c r="S9" s="2" t="s">
        <v>226</v>
      </c>
      <c r="T9" s="2" t="s">
        <v>64</v>
      </c>
      <c r="U9" s="2" t="s">
        <v>227</v>
      </c>
      <c r="V9" s="5" t="b">
        <v>0</v>
      </c>
      <c r="W9" s="2" t="s">
        <v>228</v>
      </c>
      <c r="X9" s="5" t="b">
        <v>1</v>
      </c>
      <c r="Y9" s="2" t="s">
        <v>229</v>
      </c>
      <c r="Z9" s="2" t="s">
        <v>230</v>
      </c>
      <c r="AA9" s="2" t="s">
        <v>53</v>
      </c>
      <c r="AB9" s="5" t="b">
        <v>0</v>
      </c>
      <c r="AC9" s="5" t="b">
        <v>0</v>
      </c>
      <c r="AD9" s="2" t="s">
        <v>231</v>
      </c>
      <c r="AE9" s="2" t="s">
        <v>53</v>
      </c>
      <c r="AF9" s="2" t="s">
        <v>53</v>
      </c>
      <c r="AG9" s="2" t="s">
        <v>32</v>
      </c>
      <c r="AH9" s="6">
        <v>45860.440752314797</v>
      </c>
      <c r="AI9" s="5" t="b">
        <v>0</v>
      </c>
      <c r="AJ9" s="2" t="s">
        <v>232</v>
      </c>
      <c r="AL9" s="2" t="s">
        <v>53</v>
      </c>
      <c r="AM9" s="2" t="s">
        <v>53</v>
      </c>
      <c r="AO9" s="2" t="s">
        <v>53</v>
      </c>
      <c r="AP9" s="2" t="s">
        <v>64</v>
      </c>
      <c r="AQ9" s="2" t="s">
        <v>233</v>
      </c>
      <c r="AR9" s="2" t="s">
        <v>53</v>
      </c>
      <c r="AS9" s="2" t="s">
        <v>53</v>
      </c>
      <c r="AT9" s="4">
        <v>2</v>
      </c>
      <c r="AU9" s="2" t="s">
        <v>234</v>
      </c>
      <c r="AV9" s="2" t="s">
        <v>235</v>
      </c>
      <c r="AW9" s="2" t="s">
        <v>236</v>
      </c>
      <c r="AX9">
        <v>0</v>
      </c>
      <c r="AY9" s="10" t="s">
        <v>1059</v>
      </c>
    </row>
    <row r="10" spans="1:55" ht="60" x14ac:dyDescent="0.25">
      <c r="A10" s="2" t="s">
        <v>237</v>
      </c>
      <c r="B10" s="2" t="s">
        <v>238</v>
      </c>
      <c r="C10" s="2" t="s">
        <v>239</v>
      </c>
      <c r="D10" s="3" t="s">
        <v>240</v>
      </c>
      <c r="E10" s="2" t="s">
        <v>53</v>
      </c>
      <c r="F10" s="2" t="s">
        <v>241</v>
      </c>
      <c r="G10" s="2" t="s">
        <v>242</v>
      </c>
      <c r="H10" s="2" t="s">
        <v>243</v>
      </c>
      <c r="I10" s="2" t="s">
        <v>53</v>
      </c>
      <c r="J10" s="2" t="s">
        <v>244</v>
      </c>
      <c r="K10" s="2" t="s">
        <v>53</v>
      </c>
      <c r="L10" s="2" t="s">
        <v>245</v>
      </c>
      <c r="M10" s="2" t="s">
        <v>246</v>
      </c>
      <c r="N10" s="2" t="s">
        <v>247</v>
      </c>
      <c r="O10" s="2" t="s">
        <v>53</v>
      </c>
      <c r="P10" s="3" t="s">
        <v>248</v>
      </c>
      <c r="Q10" s="3" t="s">
        <v>249</v>
      </c>
      <c r="R10" s="4">
        <v>1</v>
      </c>
      <c r="S10" s="2" t="s">
        <v>250</v>
      </c>
      <c r="T10" s="2" t="s">
        <v>84</v>
      </c>
      <c r="U10" s="2" t="s">
        <v>251</v>
      </c>
      <c r="V10" s="5" t="b">
        <v>0</v>
      </c>
      <c r="W10" s="2" t="s">
        <v>252</v>
      </c>
      <c r="X10" s="5" t="b">
        <v>0</v>
      </c>
      <c r="Y10" s="2" t="s">
        <v>53</v>
      </c>
      <c r="Z10" s="2" t="s">
        <v>53</v>
      </c>
      <c r="AA10" s="2" t="s">
        <v>53</v>
      </c>
      <c r="AB10" s="5" t="b">
        <v>0</v>
      </c>
      <c r="AC10" s="5" t="b">
        <v>0</v>
      </c>
      <c r="AD10" s="2" t="s">
        <v>253</v>
      </c>
      <c r="AE10" s="2" t="s">
        <v>53</v>
      </c>
      <c r="AF10" s="2" t="s">
        <v>53</v>
      </c>
      <c r="AG10" s="2" t="s">
        <v>90</v>
      </c>
      <c r="AH10" s="6">
        <v>45866.3817361111</v>
      </c>
      <c r="AI10" s="5" t="b">
        <v>0</v>
      </c>
      <c r="AJ10" s="2" t="s">
        <v>254</v>
      </c>
      <c r="AL10" s="2" t="s">
        <v>53</v>
      </c>
      <c r="AM10" s="2" t="s">
        <v>53</v>
      </c>
      <c r="AO10" s="2" t="s">
        <v>53</v>
      </c>
      <c r="AP10" s="2" t="s">
        <v>84</v>
      </c>
      <c r="AQ10" s="2" t="s">
        <v>53</v>
      </c>
      <c r="AR10" s="2" t="s">
        <v>53</v>
      </c>
      <c r="AS10" s="2" t="s">
        <v>53</v>
      </c>
      <c r="AT10" s="4">
        <v>1</v>
      </c>
      <c r="AU10" s="2" t="s">
        <v>255</v>
      </c>
      <c r="AV10" s="2" t="s">
        <v>256</v>
      </c>
      <c r="AW10" s="2" t="s">
        <v>257</v>
      </c>
      <c r="AX10">
        <v>0</v>
      </c>
      <c r="AY10" s="10" t="s">
        <v>1060</v>
      </c>
    </row>
    <row r="11" spans="1:55" ht="165" x14ac:dyDescent="0.25">
      <c r="A11" s="2" t="s">
        <v>258</v>
      </c>
      <c r="B11" s="2" t="s">
        <v>259</v>
      </c>
      <c r="C11" s="2" t="s">
        <v>260</v>
      </c>
      <c r="D11" s="3" t="s">
        <v>261</v>
      </c>
      <c r="E11" s="2" t="s">
        <v>53</v>
      </c>
      <c r="F11" s="2" t="s">
        <v>53</v>
      </c>
      <c r="G11" s="2" t="s">
        <v>262</v>
      </c>
      <c r="H11" s="2" t="s">
        <v>263</v>
      </c>
      <c r="I11" s="2" t="s">
        <v>264</v>
      </c>
      <c r="J11" s="2" t="s">
        <v>265</v>
      </c>
      <c r="K11" s="2" t="s">
        <v>53</v>
      </c>
      <c r="L11" s="2" t="s">
        <v>266</v>
      </c>
      <c r="M11" s="2" t="s">
        <v>267</v>
      </c>
      <c r="N11" s="2" t="s">
        <v>268</v>
      </c>
      <c r="O11" s="2" t="s">
        <v>269</v>
      </c>
      <c r="P11" s="3" t="s">
        <v>82</v>
      </c>
      <c r="Q11" s="3" t="s">
        <v>270</v>
      </c>
      <c r="R11" s="4">
        <v>6</v>
      </c>
      <c r="S11" s="2" t="s">
        <v>271</v>
      </c>
      <c r="T11" s="2" t="s">
        <v>135</v>
      </c>
      <c r="U11" s="2" t="s">
        <v>272</v>
      </c>
      <c r="V11" s="5" t="b">
        <v>0</v>
      </c>
      <c r="W11" s="2" t="s">
        <v>273</v>
      </c>
      <c r="X11" s="5" t="b">
        <v>0</v>
      </c>
      <c r="Y11" s="2" t="s">
        <v>53</v>
      </c>
      <c r="Z11" s="2" t="s">
        <v>274</v>
      </c>
      <c r="AA11" s="2" t="s">
        <v>275</v>
      </c>
      <c r="AB11" s="5" t="b">
        <v>0</v>
      </c>
      <c r="AC11" s="5" t="b">
        <v>0</v>
      </c>
      <c r="AD11" s="2" t="s">
        <v>276</v>
      </c>
      <c r="AE11" s="2" t="s">
        <v>53</v>
      </c>
      <c r="AF11" s="2" t="s">
        <v>53</v>
      </c>
      <c r="AG11" s="2" t="s">
        <v>90</v>
      </c>
      <c r="AH11" s="6">
        <v>45799.496180555601</v>
      </c>
      <c r="AI11" s="5" t="b">
        <v>0</v>
      </c>
      <c r="AJ11" s="2" t="s">
        <v>277</v>
      </c>
      <c r="AL11" s="2" t="s">
        <v>53</v>
      </c>
      <c r="AM11" s="2" t="s">
        <v>53</v>
      </c>
      <c r="AO11" s="2" t="s">
        <v>53</v>
      </c>
      <c r="AP11" s="2" t="s">
        <v>135</v>
      </c>
      <c r="AQ11" s="2" t="s">
        <v>278</v>
      </c>
      <c r="AR11" s="2" t="s">
        <v>53</v>
      </c>
      <c r="AS11" s="2" t="s">
        <v>53</v>
      </c>
      <c r="AT11" s="4">
        <v>1</v>
      </c>
      <c r="AU11" s="2" t="s">
        <v>279</v>
      </c>
      <c r="AV11" s="2" t="s">
        <v>280</v>
      </c>
      <c r="AW11" s="2" t="s">
        <v>281</v>
      </c>
      <c r="AX11">
        <v>0</v>
      </c>
      <c r="AY11" s="10" t="s">
        <v>1061</v>
      </c>
    </row>
    <row r="12" spans="1:55" ht="345" x14ac:dyDescent="0.25">
      <c r="A12" s="2" t="s">
        <v>282</v>
      </c>
      <c r="B12" s="2" t="s">
        <v>283</v>
      </c>
      <c r="C12" s="2" t="s">
        <v>284</v>
      </c>
      <c r="D12" s="3" t="s">
        <v>285</v>
      </c>
      <c r="E12" s="2" t="s">
        <v>53</v>
      </c>
      <c r="F12" s="2" t="s">
        <v>53</v>
      </c>
      <c r="G12" s="2" t="s">
        <v>286</v>
      </c>
      <c r="H12" s="2" t="s">
        <v>287</v>
      </c>
      <c r="I12" s="2" t="s">
        <v>53</v>
      </c>
      <c r="J12" s="2" t="s">
        <v>288</v>
      </c>
      <c r="K12" s="2" t="s">
        <v>53</v>
      </c>
      <c r="L12" s="2" t="s">
        <v>289</v>
      </c>
      <c r="M12" s="2" t="s">
        <v>267</v>
      </c>
      <c r="N12" s="2" t="s">
        <v>290</v>
      </c>
      <c r="O12" s="2" t="s">
        <v>291</v>
      </c>
      <c r="P12" s="3" t="s">
        <v>292</v>
      </c>
      <c r="Q12" s="3" t="s">
        <v>293</v>
      </c>
      <c r="R12" s="4">
        <v>274</v>
      </c>
      <c r="S12" s="2" t="s">
        <v>294</v>
      </c>
      <c r="T12" s="2" t="s">
        <v>135</v>
      </c>
      <c r="U12" s="2" t="s">
        <v>295</v>
      </c>
      <c r="V12" s="5" t="b">
        <v>0</v>
      </c>
      <c r="W12" s="2" t="s">
        <v>296</v>
      </c>
      <c r="X12" s="5" t="b">
        <v>1</v>
      </c>
      <c r="Y12" s="2" t="s">
        <v>53</v>
      </c>
      <c r="Z12" s="2" t="s">
        <v>297</v>
      </c>
      <c r="AA12" s="2" t="s">
        <v>298</v>
      </c>
      <c r="AB12" s="5" t="b">
        <v>0</v>
      </c>
      <c r="AC12" s="5" t="b">
        <v>0</v>
      </c>
      <c r="AD12" s="2" t="s">
        <v>299</v>
      </c>
      <c r="AE12" s="2" t="s">
        <v>53</v>
      </c>
      <c r="AF12" s="2" t="s">
        <v>53</v>
      </c>
      <c r="AG12" s="2" t="s">
        <v>90</v>
      </c>
      <c r="AH12" s="6">
        <v>45966.490034722199</v>
      </c>
      <c r="AI12" s="5" t="b">
        <v>0</v>
      </c>
      <c r="AJ12" s="2" t="s">
        <v>300</v>
      </c>
      <c r="AL12" s="2" t="s">
        <v>53</v>
      </c>
      <c r="AM12" s="2" t="s">
        <v>53</v>
      </c>
      <c r="AO12" s="2" t="s">
        <v>53</v>
      </c>
      <c r="AP12" s="2" t="s">
        <v>135</v>
      </c>
      <c r="AQ12" s="2" t="s">
        <v>301</v>
      </c>
      <c r="AR12" s="2" t="s">
        <v>53</v>
      </c>
      <c r="AS12" s="2" t="s">
        <v>53</v>
      </c>
      <c r="AT12" s="4">
        <v>1</v>
      </c>
      <c r="AU12" s="2" t="s">
        <v>302</v>
      </c>
      <c r="AV12" s="2" t="s">
        <v>303</v>
      </c>
      <c r="AW12" s="2" t="s">
        <v>304</v>
      </c>
      <c r="AX12">
        <v>1</v>
      </c>
      <c r="AY12" s="10" t="s">
        <v>1062</v>
      </c>
    </row>
    <row r="13" spans="1:55" ht="60" x14ac:dyDescent="0.25">
      <c r="A13" s="2" t="s">
        <v>305</v>
      </c>
      <c r="B13" s="2" t="s">
        <v>306</v>
      </c>
      <c r="C13" s="2" t="s">
        <v>307</v>
      </c>
      <c r="D13" s="3" t="s">
        <v>308</v>
      </c>
      <c r="E13" s="2" t="s">
        <v>53</v>
      </c>
      <c r="F13" s="2" t="s">
        <v>53</v>
      </c>
      <c r="G13" s="2" t="s">
        <v>309</v>
      </c>
      <c r="H13" s="2" t="s">
        <v>310</v>
      </c>
      <c r="I13" s="2" t="s">
        <v>53</v>
      </c>
      <c r="J13" s="2" t="s">
        <v>311</v>
      </c>
      <c r="K13" s="2" t="s">
        <v>53</v>
      </c>
      <c r="L13" s="2" t="s">
        <v>312</v>
      </c>
      <c r="M13" s="2" t="s">
        <v>246</v>
      </c>
      <c r="N13" s="2" t="s">
        <v>313</v>
      </c>
      <c r="O13" s="2" t="s">
        <v>53</v>
      </c>
      <c r="P13" s="3" t="s">
        <v>314</v>
      </c>
      <c r="Q13" s="3" t="s">
        <v>315</v>
      </c>
      <c r="R13" s="4">
        <v>25</v>
      </c>
      <c r="S13" s="2" t="s">
        <v>316</v>
      </c>
      <c r="T13" s="2" t="s">
        <v>135</v>
      </c>
      <c r="U13" s="2" t="s">
        <v>65</v>
      </c>
      <c r="V13" s="5" t="b">
        <v>0</v>
      </c>
      <c r="W13" s="2" t="s">
        <v>317</v>
      </c>
      <c r="X13" s="5" t="b">
        <v>0</v>
      </c>
      <c r="Y13" s="2" t="s">
        <v>53</v>
      </c>
      <c r="Z13" s="2" t="s">
        <v>53</v>
      </c>
      <c r="AA13" s="2" t="s">
        <v>53</v>
      </c>
      <c r="AB13" s="5" t="b">
        <v>0</v>
      </c>
      <c r="AC13" s="5" t="b">
        <v>0</v>
      </c>
      <c r="AD13" s="2" t="s">
        <v>67</v>
      </c>
      <c r="AE13" s="2" t="s">
        <v>53</v>
      </c>
      <c r="AF13" s="2" t="s">
        <v>53</v>
      </c>
      <c r="AG13" s="2" t="s">
        <v>32</v>
      </c>
      <c r="AH13" s="6">
        <v>45670.405277777798</v>
      </c>
      <c r="AI13" s="5" t="b">
        <v>0</v>
      </c>
      <c r="AJ13" s="2" t="s">
        <v>318</v>
      </c>
      <c r="AL13" s="2" t="s">
        <v>53</v>
      </c>
      <c r="AM13" s="2" t="s">
        <v>53</v>
      </c>
      <c r="AO13" s="2" t="s">
        <v>53</v>
      </c>
      <c r="AP13" s="2" t="s">
        <v>135</v>
      </c>
      <c r="AQ13" s="2" t="s">
        <v>319</v>
      </c>
      <c r="AR13" s="2" t="s">
        <v>53</v>
      </c>
      <c r="AS13" s="2" t="s">
        <v>53</v>
      </c>
      <c r="AT13" s="4">
        <v>1</v>
      </c>
      <c r="AU13" s="2" t="s">
        <v>320</v>
      </c>
      <c r="AV13" s="2" t="s">
        <v>321</v>
      </c>
      <c r="AW13" s="2" t="s">
        <v>322</v>
      </c>
      <c r="AX13">
        <v>0</v>
      </c>
      <c r="AY13" s="10" t="s">
        <v>1063</v>
      </c>
    </row>
    <row r="14" spans="1:55" ht="60" x14ac:dyDescent="0.25">
      <c r="A14" s="2" t="s">
        <v>323</v>
      </c>
      <c r="B14" s="2" t="s">
        <v>324</v>
      </c>
      <c r="C14" s="2" t="s">
        <v>325</v>
      </c>
      <c r="D14" s="3" t="s">
        <v>326</v>
      </c>
      <c r="E14" s="2" t="s">
        <v>53</v>
      </c>
      <c r="F14" s="2" t="s">
        <v>241</v>
      </c>
      <c r="G14" s="2" t="s">
        <v>242</v>
      </c>
      <c r="H14" s="2" t="s">
        <v>327</v>
      </c>
      <c r="I14" s="2" t="s">
        <v>53</v>
      </c>
      <c r="J14" s="2" t="s">
        <v>328</v>
      </c>
      <c r="K14" s="2" t="s">
        <v>53</v>
      </c>
      <c r="L14" s="2" t="s">
        <v>329</v>
      </c>
      <c r="M14" s="2" t="s">
        <v>246</v>
      </c>
      <c r="N14" s="2" t="s">
        <v>330</v>
      </c>
      <c r="O14" s="2" t="s">
        <v>53</v>
      </c>
      <c r="P14" s="3" t="s">
        <v>331</v>
      </c>
      <c r="Q14" s="3" t="s">
        <v>249</v>
      </c>
      <c r="R14" s="4">
        <v>1</v>
      </c>
      <c r="S14" s="2" t="s">
        <v>332</v>
      </c>
      <c r="T14" s="2" t="s">
        <v>135</v>
      </c>
      <c r="U14" s="2" t="s">
        <v>186</v>
      </c>
      <c r="V14" s="5" t="b">
        <v>0</v>
      </c>
      <c r="W14" s="2" t="s">
        <v>252</v>
      </c>
      <c r="X14" s="5" t="b">
        <v>0</v>
      </c>
      <c r="Y14" s="2" t="s">
        <v>53</v>
      </c>
      <c r="Z14" s="2" t="s">
        <v>53</v>
      </c>
      <c r="AA14" s="2" t="s">
        <v>333</v>
      </c>
      <c r="AB14" s="5" t="b">
        <v>1</v>
      </c>
      <c r="AC14" s="5" t="b">
        <v>0</v>
      </c>
      <c r="AD14" s="2" t="s">
        <v>189</v>
      </c>
      <c r="AE14" s="2" t="s">
        <v>53</v>
      </c>
      <c r="AF14" s="2" t="s">
        <v>334</v>
      </c>
      <c r="AG14" s="2" t="s">
        <v>90</v>
      </c>
      <c r="AH14" s="6">
        <v>45786.501412037003</v>
      </c>
      <c r="AI14" s="5" t="b">
        <v>0</v>
      </c>
      <c r="AJ14" s="2" t="s">
        <v>335</v>
      </c>
      <c r="AK14" s="4">
        <v>4</v>
      </c>
      <c r="AL14" s="2" t="s">
        <v>53</v>
      </c>
      <c r="AM14" s="2" t="s">
        <v>53</v>
      </c>
      <c r="AO14" s="2" t="s">
        <v>336</v>
      </c>
      <c r="AP14" s="2" t="s">
        <v>135</v>
      </c>
      <c r="AQ14" s="2" t="s">
        <v>53</v>
      </c>
      <c r="AR14" s="2" t="s">
        <v>53</v>
      </c>
      <c r="AS14" s="2" t="s">
        <v>337</v>
      </c>
      <c r="AT14" s="4">
        <v>1</v>
      </c>
      <c r="AU14" s="2" t="s">
        <v>338</v>
      </c>
      <c r="AV14" s="2" t="s">
        <v>339</v>
      </c>
      <c r="AW14" s="2" t="s">
        <v>340</v>
      </c>
      <c r="AX14">
        <v>0</v>
      </c>
      <c r="AY14" s="10" t="s">
        <v>1060</v>
      </c>
    </row>
    <row r="15" spans="1:55" ht="360" x14ac:dyDescent="0.25">
      <c r="A15" s="2" t="s">
        <v>341</v>
      </c>
      <c r="B15" s="2" t="s">
        <v>342</v>
      </c>
      <c r="C15" s="2" t="s">
        <v>343</v>
      </c>
      <c r="D15" s="3" t="s">
        <v>344</v>
      </c>
      <c r="E15" s="2" t="s">
        <v>53</v>
      </c>
      <c r="F15" s="2" t="s">
        <v>53</v>
      </c>
      <c r="G15" s="2" t="s">
        <v>345</v>
      </c>
      <c r="H15" s="2" t="s">
        <v>346</v>
      </c>
      <c r="I15" s="2" t="s">
        <v>53</v>
      </c>
      <c r="J15" s="2" t="s">
        <v>347</v>
      </c>
      <c r="K15" s="2" t="s">
        <v>53</v>
      </c>
      <c r="L15" s="2" t="s">
        <v>348</v>
      </c>
      <c r="M15" s="2" t="s">
        <v>349</v>
      </c>
      <c r="N15" s="2" t="s">
        <v>350</v>
      </c>
      <c r="O15" s="2" t="s">
        <v>53</v>
      </c>
      <c r="P15" s="3" t="s">
        <v>351</v>
      </c>
      <c r="Q15" s="3" t="s">
        <v>352</v>
      </c>
      <c r="S15" s="2" t="s">
        <v>353</v>
      </c>
      <c r="T15" s="2" t="s">
        <v>64</v>
      </c>
      <c r="U15" s="2" t="s">
        <v>186</v>
      </c>
      <c r="V15" s="5" t="b">
        <v>0</v>
      </c>
      <c r="W15" s="2" t="s">
        <v>354</v>
      </c>
      <c r="X15" s="5" t="b">
        <v>0</v>
      </c>
      <c r="Y15" s="2" t="s">
        <v>53</v>
      </c>
      <c r="Z15" s="2" t="s">
        <v>53</v>
      </c>
      <c r="AA15" s="2" t="s">
        <v>355</v>
      </c>
      <c r="AB15" s="5" t="b">
        <v>0</v>
      </c>
      <c r="AC15" s="5" t="b">
        <v>0</v>
      </c>
      <c r="AD15" s="2" t="s">
        <v>189</v>
      </c>
      <c r="AE15" s="2" t="s">
        <v>53</v>
      </c>
      <c r="AF15" s="2" t="s">
        <v>53</v>
      </c>
      <c r="AG15" s="2" t="s">
        <v>90</v>
      </c>
      <c r="AH15" s="6">
        <v>45898.488368055601</v>
      </c>
      <c r="AI15" s="5" t="b">
        <v>0</v>
      </c>
      <c r="AJ15" s="2" t="s">
        <v>356</v>
      </c>
      <c r="AL15" s="2" t="s">
        <v>53</v>
      </c>
      <c r="AM15" s="2" t="s">
        <v>53</v>
      </c>
      <c r="AO15" s="2" t="s">
        <v>53</v>
      </c>
      <c r="AP15" s="2" t="s">
        <v>84</v>
      </c>
      <c r="AQ15" s="2" t="s">
        <v>53</v>
      </c>
      <c r="AR15" s="2" t="s">
        <v>53</v>
      </c>
      <c r="AS15" s="2" t="s">
        <v>53</v>
      </c>
      <c r="AT15" s="4">
        <v>2</v>
      </c>
      <c r="AU15" s="2" t="s">
        <v>357</v>
      </c>
      <c r="AV15" s="2" t="s">
        <v>358</v>
      </c>
      <c r="AW15" s="2" t="s">
        <v>359</v>
      </c>
      <c r="AX15">
        <v>0</v>
      </c>
      <c r="AY15" s="10" t="s">
        <v>1064</v>
      </c>
    </row>
    <row r="16" spans="1:55" ht="255" x14ac:dyDescent="0.25">
      <c r="A16" s="2" t="s">
        <v>360</v>
      </c>
      <c r="B16" s="2" t="s">
        <v>361</v>
      </c>
      <c r="C16" s="2" t="s">
        <v>362</v>
      </c>
      <c r="D16" s="3" t="s">
        <v>363</v>
      </c>
      <c r="E16" s="2" t="s">
        <v>53</v>
      </c>
      <c r="F16" s="2" t="s">
        <v>53</v>
      </c>
      <c r="G16" s="2" t="s">
        <v>364</v>
      </c>
      <c r="H16" s="2" t="s">
        <v>365</v>
      </c>
      <c r="I16" s="2" t="s">
        <v>53</v>
      </c>
      <c r="J16" s="2" t="s">
        <v>366</v>
      </c>
      <c r="K16" s="2" t="s">
        <v>53</v>
      </c>
      <c r="L16" s="2" t="s">
        <v>367</v>
      </c>
      <c r="M16" s="2" t="s">
        <v>59</v>
      </c>
      <c r="N16" s="2" t="s">
        <v>368</v>
      </c>
      <c r="O16" s="2" t="s">
        <v>365</v>
      </c>
      <c r="P16" s="3" t="s">
        <v>369</v>
      </c>
      <c r="Q16" s="3" t="s">
        <v>370</v>
      </c>
      <c r="R16" s="4">
        <v>70</v>
      </c>
      <c r="S16" s="2" t="s">
        <v>371</v>
      </c>
      <c r="T16" s="2" t="s">
        <v>135</v>
      </c>
      <c r="U16" s="2" t="s">
        <v>372</v>
      </c>
      <c r="V16" s="5" t="b">
        <v>0</v>
      </c>
      <c r="W16" s="2" t="s">
        <v>373</v>
      </c>
      <c r="X16" s="5" t="b">
        <v>1</v>
      </c>
      <c r="Y16" s="2" t="s">
        <v>53</v>
      </c>
      <c r="Z16" s="2" t="s">
        <v>374</v>
      </c>
      <c r="AA16" s="2" t="s">
        <v>374</v>
      </c>
      <c r="AB16" s="5" t="b">
        <v>0</v>
      </c>
      <c r="AC16" s="5" t="b">
        <v>0</v>
      </c>
      <c r="AD16" s="2" t="s">
        <v>375</v>
      </c>
      <c r="AE16" s="2" t="s">
        <v>53</v>
      </c>
      <c r="AF16" s="2" t="s">
        <v>376</v>
      </c>
      <c r="AG16" s="2" t="s">
        <v>90</v>
      </c>
      <c r="AH16" s="6">
        <v>45833.614143518498</v>
      </c>
      <c r="AI16" s="5" t="b">
        <v>0</v>
      </c>
      <c r="AJ16" s="2" t="s">
        <v>377</v>
      </c>
      <c r="AL16" s="2" t="s">
        <v>53</v>
      </c>
      <c r="AM16" s="2" t="s">
        <v>53</v>
      </c>
      <c r="AO16" s="2" t="s">
        <v>53</v>
      </c>
      <c r="AP16" s="2" t="s">
        <v>135</v>
      </c>
      <c r="AQ16" s="2" t="s">
        <v>378</v>
      </c>
      <c r="AR16" s="2" t="s">
        <v>53</v>
      </c>
      <c r="AS16" s="2" t="s">
        <v>53</v>
      </c>
      <c r="AT16" s="4">
        <v>1</v>
      </c>
      <c r="AU16" s="2" t="s">
        <v>379</v>
      </c>
      <c r="AV16" s="2" t="s">
        <v>380</v>
      </c>
      <c r="AW16" s="2" t="s">
        <v>381</v>
      </c>
      <c r="AX16">
        <v>0</v>
      </c>
      <c r="AY16" s="10" t="s">
        <v>1065</v>
      </c>
    </row>
    <row r="17" spans="1:51" ht="75" x14ac:dyDescent="0.25">
      <c r="A17" s="2" t="s">
        <v>382</v>
      </c>
      <c r="B17" s="2" t="s">
        <v>383</v>
      </c>
      <c r="C17" s="2" t="s">
        <v>384</v>
      </c>
      <c r="D17" s="3" t="s">
        <v>385</v>
      </c>
      <c r="E17" s="2" t="s">
        <v>386</v>
      </c>
      <c r="F17" s="2" t="s">
        <v>387</v>
      </c>
      <c r="G17" s="2" t="s">
        <v>388</v>
      </c>
      <c r="H17" s="2" t="s">
        <v>389</v>
      </c>
      <c r="I17" s="2" t="s">
        <v>53</v>
      </c>
      <c r="J17" s="2" t="s">
        <v>390</v>
      </c>
      <c r="K17" s="2" t="s">
        <v>53</v>
      </c>
      <c r="L17" s="2" t="s">
        <v>391</v>
      </c>
      <c r="M17" s="2" t="s">
        <v>267</v>
      </c>
      <c r="N17" s="2" t="s">
        <v>392</v>
      </c>
      <c r="O17" s="2" t="s">
        <v>53</v>
      </c>
      <c r="P17" s="3" t="s">
        <v>369</v>
      </c>
      <c r="Q17" s="3" t="s">
        <v>370</v>
      </c>
      <c r="R17" s="4">
        <v>2</v>
      </c>
      <c r="S17" s="2" t="s">
        <v>393</v>
      </c>
      <c r="T17" s="2" t="s">
        <v>64</v>
      </c>
      <c r="U17" s="2" t="s">
        <v>394</v>
      </c>
      <c r="V17" s="5" t="b">
        <v>0</v>
      </c>
      <c r="W17" s="2" t="s">
        <v>395</v>
      </c>
      <c r="X17" s="5" t="b">
        <v>0</v>
      </c>
      <c r="Y17" s="2" t="s">
        <v>53</v>
      </c>
      <c r="Z17" s="2" t="s">
        <v>53</v>
      </c>
      <c r="AA17" s="2" t="s">
        <v>396</v>
      </c>
      <c r="AB17" s="5" t="b">
        <v>0</v>
      </c>
      <c r="AC17" s="5" t="b">
        <v>0</v>
      </c>
      <c r="AD17" s="2" t="s">
        <v>397</v>
      </c>
      <c r="AE17" s="2" t="s">
        <v>53</v>
      </c>
      <c r="AF17" s="2" t="s">
        <v>53</v>
      </c>
      <c r="AG17" s="2" t="s">
        <v>90</v>
      </c>
      <c r="AH17" s="6">
        <v>45910.6557060185</v>
      </c>
      <c r="AI17" s="5" t="b">
        <v>0</v>
      </c>
      <c r="AJ17" s="2" t="s">
        <v>398</v>
      </c>
      <c r="AL17" s="2" t="s">
        <v>53</v>
      </c>
      <c r="AM17" s="2" t="s">
        <v>53</v>
      </c>
      <c r="AO17" s="2" t="s">
        <v>53</v>
      </c>
      <c r="AP17" s="2" t="s">
        <v>64</v>
      </c>
      <c r="AQ17" s="2" t="s">
        <v>399</v>
      </c>
      <c r="AR17" s="2" t="s">
        <v>400</v>
      </c>
      <c r="AS17" s="2" t="s">
        <v>53</v>
      </c>
      <c r="AT17" s="4">
        <v>1</v>
      </c>
      <c r="AU17" s="2" t="s">
        <v>401</v>
      </c>
      <c r="AV17" s="2" t="s">
        <v>339</v>
      </c>
      <c r="AW17" s="2" t="s">
        <v>402</v>
      </c>
      <c r="AX17">
        <v>1</v>
      </c>
      <c r="AY17" s="10" t="s">
        <v>1066</v>
      </c>
    </row>
    <row r="18" spans="1:51" ht="60" x14ac:dyDescent="0.25">
      <c r="A18" s="2" t="s">
        <v>403</v>
      </c>
      <c r="B18" s="2" t="s">
        <v>404</v>
      </c>
      <c r="C18" s="2" t="s">
        <v>405</v>
      </c>
      <c r="D18" s="3" t="s">
        <v>406</v>
      </c>
      <c r="E18" s="2" t="s">
        <v>53</v>
      </c>
      <c r="F18" s="2" t="s">
        <v>53</v>
      </c>
      <c r="G18" s="2" t="s">
        <v>407</v>
      </c>
      <c r="H18" s="2" t="s">
        <v>408</v>
      </c>
      <c r="I18" s="2" t="s">
        <v>53</v>
      </c>
      <c r="J18" s="2" t="s">
        <v>409</v>
      </c>
      <c r="K18" s="2" t="s">
        <v>53</v>
      </c>
      <c r="L18" s="2" t="s">
        <v>410</v>
      </c>
      <c r="M18" s="2" t="s">
        <v>80</v>
      </c>
      <c r="N18" s="2" t="s">
        <v>411</v>
      </c>
      <c r="O18" s="2" t="s">
        <v>412</v>
      </c>
      <c r="P18" s="3" t="s">
        <v>413</v>
      </c>
      <c r="Q18" s="3" t="s">
        <v>414</v>
      </c>
      <c r="R18" s="4">
        <v>15</v>
      </c>
      <c r="S18" s="2" t="s">
        <v>415</v>
      </c>
      <c r="T18" s="2" t="s">
        <v>109</v>
      </c>
      <c r="U18" s="2" t="s">
        <v>416</v>
      </c>
      <c r="V18" s="5" t="b">
        <v>0</v>
      </c>
      <c r="W18" s="2" t="s">
        <v>417</v>
      </c>
      <c r="X18" s="5" t="b">
        <v>0</v>
      </c>
      <c r="Y18" s="2" t="s">
        <v>53</v>
      </c>
      <c r="Z18" s="2" t="s">
        <v>418</v>
      </c>
      <c r="AA18" s="2" t="s">
        <v>419</v>
      </c>
      <c r="AB18" s="5" t="b">
        <v>0</v>
      </c>
      <c r="AC18" s="5" t="b">
        <v>0</v>
      </c>
      <c r="AD18" s="2" t="s">
        <v>420</v>
      </c>
      <c r="AE18" s="2" t="s">
        <v>53</v>
      </c>
      <c r="AF18" s="2" t="s">
        <v>421</v>
      </c>
      <c r="AG18" s="2" t="s">
        <v>90</v>
      </c>
      <c r="AH18" s="6">
        <v>45740.551956018498</v>
      </c>
      <c r="AI18" s="5" t="b">
        <v>0</v>
      </c>
      <c r="AJ18" s="2" t="s">
        <v>422</v>
      </c>
      <c r="AL18" s="2" t="s">
        <v>53</v>
      </c>
      <c r="AM18" s="2" t="s">
        <v>53</v>
      </c>
      <c r="AO18" s="2" t="s">
        <v>53</v>
      </c>
      <c r="AP18" s="2" t="s">
        <v>109</v>
      </c>
      <c r="AQ18" s="2" t="s">
        <v>423</v>
      </c>
      <c r="AR18" s="2" t="s">
        <v>53</v>
      </c>
      <c r="AS18" s="2" t="s">
        <v>53</v>
      </c>
      <c r="AT18" s="4">
        <v>1</v>
      </c>
      <c r="AU18" s="2" t="s">
        <v>424</v>
      </c>
      <c r="AV18" s="2" t="s">
        <v>425</v>
      </c>
      <c r="AW18" s="2" t="s">
        <v>402</v>
      </c>
      <c r="AX18">
        <v>1</v>
      </c>
      <c r="AY18" s="10" t="s">
        <v>1067</v>
      </c>
    </row>
    <row r="19" spans="1:51" ht="90" x14ac:dyDescent="0.25">
      <c r="A19" s="2" t="s">
        <v>426</v>
      </c>
      <c r="B19" s="2" t="s">
        <v>427</v>
      </c>
      <c r="C19" s="2" t="s">
        <v>428</v>
      </c>
      <c r="D19" s="3" t="s">
        <v>308</v>
      </c>
      <c r="E19" s="2" t="s">
        <v>53</v>
      </c>
      <c r="F19" s="2" t="s">
        <v>53</v>
      </c>
      <c r="G19" s="2" t="s">
        <v>429</v>
      </c>
      <c r="H19" s="2" t="s">
        <v>430</v>
      </c>
      <c r="I19" s="2" t="s">
        <v>53</v>
      </c>
      <c r="J19" s="2" t="s">
        <v>431</v>
      </c>
      <c r="K19" s="2" t="s">
        <v>53</v>
      </c>
      <c r="L19" s="2" t="s">
        <v>432</v>
      </c>
      <c r="M19" s="2" t="s">
        <v>433</v>
      </c>
      <c r="N19" s="2" t="s">
        <v>434</v>
      </c>
      <c r="O19" s="2" t="s">
        <v>53</v>
      </c>
      <c r="P19" s="3" t="s">
        <v>435</v>
      </c>
      <c r="Q19" s="3" t="s">
        <v>62</v>
      </c>
      <c r="R19" s="4">
        <v>4</v>
      </c>
      <c r="S19" s="2" t="s">
        <v>436</v>
      </c>
      <c r="T19" s="2" t="s">
        <v>135</v>
      </c>
      <c r="U19" s="2" t="s">
        <v>437</v>
      </c>
      <c r="V19" s="5" t="b">
        <v>0</v>
      </c>
      <c r="W19" s="2" t="s">
        <v>438</v>
      </c>
      <c r="X19" s="5" t="b">
        <v>0</v>
      </c>
      <c r="Y19" s="2" t="s">
        <v>53</v>
      </c>
      <c r="Z19" s="2" t="s">
        <v>53</v>
      </c>
      <c r="AA19" s="2" t="s">
        <v>53</v>
      </c>
      <c r="AB19" s="5" t="b">
        <v>0</v>
      </c>
      <c r="AC19" s="5" t="b">
        <v>0</v>
      </c>
      <c r="AD19" s="2" t="s">
        <v>439</v>
      </c>
      <c r="AE19" s="2" t="s">
        <v>53</v>
      </c>
      <c r="AF19" s="2" t="s">
        <v>53</v>
      </c>
      <c r="AG19" s="2" t="s">
        <v>32</v>
      </c>
      <c r="AH19" s="6">
        <v>45670.597453703696</v>
      </c>
      <c r="AI19" s="5" t="b">
        <v>0</v>
      </c>
      <c r="AJ19" s="2" t="s">
        <v>440</v>
      </c>
      <c r="AL19" s="2" t="s">
        <v>53</v>
      </c>
      <c r="AM19" s="2" t="s">
        <v>53</v>
      </c>
      <c r="AO19" s="2" t="s">
        <v>53</v>
      </c>
      <c r="AP19" s="2" t="s">
        <v>135</v>
      </c>
      <c r="AQ19" s="2" t="s">
        <v>441</v>
      </c>
      <c r="AR19" s="2" t="s">
        <v>53</v>
      </c>
      <c r="AS19" s="2" t="s">
        <v>53</v>
      </c>
      <c r="AT19" s="4">
        <v>7</v>
      </c>
      <c r="AU19" s="2" t="s">
        <v>442</v>
      </c>
      <c r="AV19" s="2" t="s">
        <v>443</v>
      </c>
      <c r="AW19" s="2" t="s">
        <v>444</v>
      </c>
      <c r="AX19">
        <v>0</v>
      </c>
      <c r="AY19" s="10" t="s">
        <v>1068</v>
      </c>
    </row>
    <row r="20" spans="1:51" ht="375" x14ac:dyDescent="0.25">
      <c r="A20" s="2" t="s">
        <v>445</v>
      </c>
      <c r="B20" s="2" t="s">
        <v>446</v>
      </c>
      <c r="C20" s="2" t="s">
        <v>447</v>
      </c>
      <c r="D20" s="3" t="s">
        <v>448</v>
      </c>
      <c r="E20" s="2" t="s">
        <v>53</v>
      </c>
      <c r="F20" s="2" t="s">
        <v>53</v>
      </c>
      <c r="G20" s="2" t="s">
        <v>449</v>
      </c>
      <c r="H20" s="2" t="s">
        <v>450</v>
      </c>
      <c r="I20" s="2" t="s">
        <v>53</v>
      </c>
      <c r="J20" s="2" t="s">
        <v>451</v>
      </c>
      <c r="K20" s="2" t="s">
        <v>53</v>
      </c>
      <c r="L20" s="2" t="s">
        <v>452</v>
      </c>
      <c r="M20" s="2" t="s">
        <v>453</v>
      </c>
      <c r="N20" s="2" t="s">
        <v>454</v>
      </c>
      <c r="O20" s="2" t="s">
        <v>450</v>
      </c>
      <c r="P20" s="3" t="s">
        <v>351</v>
      </c>
      <c r="Q20" s="3" t="s">
        <v>352</v>
      </c>
      <c r="R20" s="4">
        <v>23</v>
      </c>
      <c r="S20" s="2" t="s">
        <v>455</v>
      </c>
      <c r="T20" s="2" t="s">
        <v>135</v>
      </c>
      <c r="U20" s="2" t="s">
        <v>206</v>
      </c>
      <c r="V20" s="5" t="b">
        <v>0</v>
      </c>
      <c r="W20" s="2" t="s">
        <v>456</v>
      </c>
      <c r="X20" s="5" t="b">
        <v>1</v>
      </c>
      <c r="Y20" s="2" t="s">
        <v>53</v>
      </c>
      <c r="Z20" s="2" t="s">
        <v>457</v>
      </c>
      <c r="AA20" s="2" t="s">
        <v>457</v>
      </c>
      <c r="AB20" s="5" t="b">
        <v>0</v>
      </c>
      <c r="AC20" s="5" t="b">
        <v>0</v>
      </c>
      <c r="AD20" s="2" t="s">
        <v>209</v>
      </c>
      <c r="AE20" s="2" t="s">
        <v>53</v>
      </c>
      <c r="AF20" s="2" t="s">
        <v>458</v>
      </c>
      <c r="AG20" s="2" t="s">
        <v>90</v>
      </c>
      <c r="AH20" s="6">
        <v>45965.406168981499</v>
      </c>
      <c r="AI20" s="5" t="b">
        <v>0</v>
      </c>
      <c r="AJ20" s="2" t="s">
        <v>459</v>
      </c>
      <c r="AL20" s="2" t="s">
        <v>53</v>
      </c>
      <c r="AM20" s="2" t="s">
        <v>53</v>
      </c>
      <c r="AO20" s="2" t="s">
        <v>53</v>
      </c>
      <c r="AP20" s="2" t="s">
        <v>135</v>
      </c>
      <c r="AQ20" s="2" t="s">
        <v>53</v>
      </c>
      <c r="AR20" s="2" t="s">
        <v>53</v>
      </c>
      <c r="AS20" s="2" t="s">
        <v>53</v>
      </c>
      <c r="AT20" s="4">
        <v>3</v>
      </c>
      <c r="AU20" s="2" t="s">
        <v>460</v>
      </c>
      <c r="AV20" s="2" t="s">
        <v>461</v>
      </c>
      <c r="AW20" s="2" t="s">
        <v>462</v>
      </c>
      <c r="AX20">
        <v>0</v>
      </c>
      <c r="AY20" s="10" t="s">
        <v>1069</v>
      </c>
    </row>
    <row r="21" spans="1:51" ht="360" x14ac:dyDescent="0.25">
      <c r="A21" s="2" t="s">
        <v>463</v>
      </c>
      <c r="B21" s="2" t="s">
        <v>464</v>
      </c>
      <c r="C21" s="2" t="s">
        <v>465</v>
      </c>
      <c r="D21" s="3" t="s">
        <v>466</v>
      </c>
      <c r="E21" s="2" t="s">
        <v>53</v>
      </c>
      <c r="F21" s="2" t="s">
        <v>53</v>
      </c>
      <c r="G21" s="2" t="s">
        <v>467</v>
      </c>
      <c r="H21" s="2" t="s">
        <v>468</v>
      </c>
      <c r="I21" s="2" t="s">
        <v>53</v>
      </c>
      <c r="J21" s="2" t="s">
        <v>469</v>
      </c>
      <c r="K21" s="2" t="s">
        <v>53</v>
      </c>
      <c r="L21" s="2" t="s">
        <v>470</v>
      </c>
      <c r="M21" s="2" t="s">
        <v>471</v>
      </c>
      <c r="N21" s="2" t="s">
        <v>472</v>
      </c>
      <c r="O21" s="2" t="s">
        <v>468</v>
      </c>
      <c r="P21" s="3" t="s">
        <v>473</v>
      </c>
      <c r="Q21" s="3" t="s">
        <v>474</v>
      </c>
      <c r="R21" s="4">
        <v>356</v>
      </c>
      <c r="S21" s="2" t="s">
        <v>475</v>
      </c>
      <c r="T21" s="2" t="s">
        <v>135</v>
      </c>
      <c r="U21" s="2" t="s">
        <v>295</v>
      </c>
      <c r="V21" s="5" t="b">
        <v>0</v>
      </c>
      <c r="W21" s="2" t="s">
        <v>476</v>
      </c>
      <c r="X21" s="5" t="b">
        <v>1</v>
      </c>
      <c r="Y21" s="2" t="s">
        <v>477</v>
      </c>
      <c r="Z21" s="2" t="s">
        <v>478</v>
      </c>
      <c r="AA21" s="2" t="s">
        <v>479</v>
      </c>
      <c r="AB21" s="5" t="b">
        <v>0</v>
      </c>
      <c r="AC21" s="5" t="b">
        <v>0</v>
      </c>
      <c r="AD21" s="2" t="s">
        <v>299</v>
      </c>
      <c r="AE21" s="2" t="s">
        <v>53</v>
      </c>
      <c r="AF21" s="2" t="s">
        <v>480</v>
      </c>
      <c r="AG21" s="2" t="s">
        <v>32</v>
      </c>
      <c r="AH21" s="6">
        <v>45888.354027777801</v>
      </c>
      <c r="AI21" s="5" t="b">
        <v>0</v>
      </c>
      <c r="AJ21" s="2" t="s">
        <v>481</v>
      </c>
      <c r="AL21" s="2" t="s">
        <v>53</v>
      </c>
      <c r="AM21" s="2" t="s">
        <v>53</v>
      </c>
      <c r="AO21" s="2" t="s">
        <v>53</v>
      </c>
      <c r="AP21" s="2" t="s">
        <v>135</v>
      </c>
      <c r="AQ21" s="2" t="s">
        <v>482</v>
      </c>
      <c r="AR21" s="2" t="s">
        <v>53</v>
      </c>
      <c r="AS21" s="2" t="s">
        <v>53</v>
      </c>
      <c r="AT21" s="4">
        <v>1</v>
      </c>
      <c r="AU21" s="2" t="s">
        <v>483</v>
      </c>
      <c r="AV21" s="2" t="s">
        <v>484</v>
      </c>
      <c r="AW21" s="2" t="s">
        <v>485</v>
      </c>
      <c r="AX21">
        <v>0</v>
      </c>
      <c r="AY21" s="10" t="s">
        <v>1070</v>
      </c>
    </row>
    <row r="22" spans="1:51" ht="345" x14ac:dyDescent="0.25">
      <c r="A22" s="2" t="s">
        <v>486</v>
      </c>
      <c r="B22" s="2" t="s">
        <v>487</v>
      </c>
      <c r="C22" s="2" t="s">
        <v>488</v>
      </c>
      <c r="D22" s="3" t="s">
        <v>489</v>
      </c>
      <c r="E22" s="2" t="s">
        <v>53</v>
      </c>
      <c r="F22" s="2" t="s">
        <v>53</v>
      </c>
      <c r="G22" s="2" t="s">
        <v>490</v>
      </c>
      <c r="H22" s="2" t="s">
        <v>491</v>
      </c>
      <c r="I22" s="2" t="s">
        <v>53</v>
      </c>
      <c r="J22" s="2" t="s">
        <v>492</v>
      </c>
      <c r="K22" s="2" t="s">
        <v>53</v>
      </c>
      <c r="L22" s="2" t="s">
        <v>493</v>
      </c>
      <c r="M22" s="2" t="s">
        <v>80</v>
      </c>
      <c r="N22" s="2" t="s">
        <v>494</v>
      </c>
      <c r="O22" s="2" t="s">
        <v>53</v>
      </c>
      <c r="P22" s="3" t="s">
        <v>351</v>
      </c>
      <c r="Q22" s="3" t="s">
        <v>352</v>
      </c>
      <c r="R22" s="4">
        <v>21</v>
      </c>
      <c r="S22" s="2" t="s">
        <v>495</v>
      </c>
      <c r="T22" s="2" t="s">
        <v>84</v>
      </c>
      <c r="U22" s="2" t="s">
        <v>65</v>
      </c>
      <c r="V22" s="5" t="b">
        <v>0</v>
      </c>
      <c r="W22" s="2" t="s">
        <v>496</v>
      </c>
      <c r="X22" s="5" t="b">
        <v>1</v>
      </c>
      <c r="Y22" s="2" t="s">
        <v>53</v>
      </c>
      <c r="Z22" s="2" t="s">
        <v>53</v>
      </c>
      <c r="AA22" s="2" t="s">
        <v>53</v>
      </c>
      <c r="AB22" s="5" t="b">
        <v>0</v>
      </c>
      <c r="AC22" s="5" t="b">
        <v>0</v>
      </c>
      <c r="AD22" s="2" t="s">
        <v>67</v>
      </c>
      <c r="AE22" s="2" t="s">
        <v>53</v>
      </c>
      <c r="AF22" s="2" t="s">
        <v>53</v>
      </c>
      <c r="AG22" s="2" t="s">
        <v>32</v>
      </c>
      <c r="AH22" s="6">
        <v>45946.398506944402</v>
      </c>
      <c r="AI22" s="5" t="b">
        <v>0</v>
      </c>
      <c r="AJ22" s="2" t="s">
        <v>497</v>
      </c>
      <c r="AL22" s="2" t="s">
        <v>53</v>
      </c>
      <c r="AM22" s="2" t="s">
        <v>53</v>
      </c>
      <c r="AO22" s="2" t="s">
        <v>53</v>
      </c>
      <c r="AP22" s="2" t="s">
        <v>84</v>
      </c>
      <c r="AQ22" s="2" t="s">
        <v>498</v>
      </c>
      <c r="AR22" s="2" t="s">
        <v>53</v>
      </c>
      <c r="AS22" s="2" t="s">
        <v>499</v>
      </c>
      <c r="AT22" s="4">
        <v>1</v>
      </c>
      <c r="AU22" s="2" t="s">
        <v>500</v>
      </c>
      <c r="AV22" s="2" t="s">
        <v>501</v>
      </c>
      <c r="AW22" s="2" t="s">
        <v>502</v>
      </c>
      <c r="AX22">
        <v>1</v>
      </c>
      <c r="AY22" s="10" t="s">
        <v>1071</v>
      </c>
    </row>
    <row r="23" spans="1:51" ht="105" x14ac:dyDescent="0.25">
      <c r="A23" s="2" t="s">
        <v>503</v>
      </c>
      <c r="B23" s="2" t="s">
        <v>306</v>
      </c>
      <c r="C23" s="2" t="s">
        <v>504</v>
      </c>
      <c r="D23" s="3" t="s">
        <v>505</v>
      </c>
      <c r="E23" s="2" t="s">
        <v>53</v>
      </c>
      <c r="F23" s="2" t="s">
        <v>53</v>
      </c>
      <c r="G23" s="2" t="s">
        <v>309</v>
      </c>
      <c r="H23" s="2" t="s">
        <v>506</v>
      </c>
      <c r="I23" s="2" t="s">
        <v>53</v>
      </c>
      <c r="J23" s="2" t="s">
        <v>507</v>
      </c>
      <c r="K23" s="2" t="s">
        <v>53</v>
      </c>
      <c r="L23" s="2" t="s">
        <v>508</v>
      </c>
      <c r="M23" s="2" t="s">
        <v>246</v>
      </c>
      <c r="N23" s="2" t="s">
        <v>509</v>
      </c>
      <c r="O23" s="2" t="s">
        <v>53</v>
      </c>
      <c r="P23" s="3" t="s">
        <v>510</v>
      </c>
      <c r="Q23" s="3" t="s">
        <v>511</v>
      </c>
      <c r="R23" s="4">
        <v>23</v>
      </c>
      <c r="S23" s="2" t="s">
        <v>512</v>
      </c>
      <c r="T23" s="2" t="s">
        <v>135</v>
      </c>
      <c r="U23" s="2" t="s">
        <v>65</v>
      </c>
      <c r="V23" s="5" t="b">
        <v>0</v>
      </c>
      <c r="W23" s="2" t="s">
        <v>317</v>
      </c>
      <c r="X23" s="5" t="b">
        <v>0</v>
      </c>
      <c r="Y23" s="2" t="s">
        <v>53</v>
      </c>
      <c r="Z23" s="2" t="s">
        <v>53</v>
      </c>
      <c r="AA23" s="2" t="s">
        <v>53</v>
      </c>
      <c r="AB23" s="5" t="b">
        <v>0</v>
      </c>
      <c r="AC23" s="5" t="b">
        <v>0</v>
      </c>
      <c r="AD23" s="2" t="s">
        <v>67</v>
      </c>
      <c r="AE23" s="2" t="s">
        <v>53</v>
      </c>
      <c r="AF23" s="2" t="s">
        <v>53</v>
      </c>
      <c r="AG23" s="2" t="s">
        <v>32</v>
      </c>
      <c r="AH23" s="6">
        <v>45719.389537037001</v>
      </c>
      <c r="AI23" s="5" t="b">
        <v>0</v>
      </c>
      <c r="AJ23" s="2" t="s">
        <v>513</v>
      </c>
      <c r="AL23" s="2" t="s">
        <v>53</v>
      </c>
      <c r="AM23" s="2" t="s">
        <v>53</v>
      </c>
      <c r="AO23" s="2" t="s">
        <v>53</v>
      </c>
      <c r="AP23" s="2" t="s">
        <v>135</v>
      </c>
      <c r="AQ23" s="2" t="s">
        <v>514</v>
      </c>
      <c r="AR23" s="2" t="s">
        <v>53</v>
      </c>
      <c r="AS23" s="2" t="s">
        <v>53</v>
      </c>
      <c r="AT23" s="4">
        <v>1</v>
      </c>
      <c r="AU23" s="2" t="s">
        <v>515</v>
      </c>
      <c r="AV23" s="2" t="s">
        <v>516</v>
      </c>
      <c r="AW23" s="2" t="s">
        <v>517</v>
      </c>
      <c r="AX23">
        <v>0</v>
      </c>
      <c r="AY23" s="10" t="s">
        <v>1072</v>
      </c>
    </row>
    <row r="24" spans="1:51" ht="165" x14ac:dyDescent="0.25">
      <c r="A24" s="2" t="s">
        <v>518</v>
      </c>
      <c r="B24" s="2" t="s">
        <v>519</v>
      </c>
      <c r="C24" s="2" t="s">
        <v>520</v>
      </c>
      <c r="D24" s="3" t="s">
        <v>521</v>
      </c>
      <c r="E24" s="2" t="s">
        <v>53</v>
      </c>
      <c r="F24" s="2" t="s">
        <v>53</v>
      </c>
      <c r="G24" s="2" t="s">
        <v>522</v>
      </c>
      <c r="H24" s="2" t="s">
        <v>523</v>
      </c>
      <c r="I24" s="2" t="s">
        <v>53</v>
      </c>
      <c r="J24" s="2" t="s">
        <v>524</v>
      </c>
      <c r="K24" s="2" t="s">
        <v>53</v>
      </c>
      <c r="L24" s="2" t="s">
        <v>525</v>
      </c>
      <c r="M24" s="2" t="s">
        <v>526</v>
      </c>
      <c r="N24" s="2" t="s">
        <v>527</v>
      </c>
      <c r="O24" s="2" t="s">
        <v>53</v>
      </c>
      <c r="P24" s="3" t="s">
        <v>528</v>
      </c>
      <c r="Q24" s="3" t="s">
        <v>529</v>
      </c>
      <c r="R24" s="4">
        <v>4</v>
      </c>
      <c r="S24" s="2" t="s">
        <v>530</v>
      </c>
      <c r="T24" s="2" t="s">
        <v>135</v>
      </c>
      <c r="U24" s="2" t="s">
        <v>65</v>
      </c>
      <c r="V24" s="5" t="b">
        <v>0</v>
      </c>
      <c r="W24" s="2" t="s">
        <v>531</v>
      </c>
      <c r="X24" s="5" t="b">
        <v>0</v>
      </c>
      <c r="Y24" s="2" t="s">
        <v>53</v>
      </c>
      <c r="Z24" s="2" t="s">
        <v>53</v>
      </c>
      <c r="AA24" s="2" t="s">
        <v>53</v>
      </c>
      <c r="AB24" s="5" t="b">
        <v>0</v>
      </c>
      <c r="AC24" s="5" t="b">
        <v>0</v>
      </c>
      <c r="AD24" s="2" t="s">
        <v>67</v>
      </c>
      <c r="AE24" s="2" t="s">
        <v>53</v>
      </c>
      <c r="AF24" s="2" t="s">
        <v>53</v>
      </c>
      <c r="AG24" s="2" t="s">
        <v>32</v>
      </c>
      <c r="AH24" s="6">
        <v>45933.349166666703</v>
      </c>
      <c r="AI24" s="5" t="b">
        <v>0</v>
      </c>
      <c r="AJ24" s="2" t="s">
        <v>532</v>
      </c>
      <c r="AL24" s="2" t="s">
        <v>53</v>
      </c>
      <c r="AM24" s="2" t="s">
        <v>53</v>
      </c>
      <c r="AO24" s="2" t="s">
        <v>53</v>
      </c>
      <c r="AP24" s="2" t="s">
        <v>135</v>
      </c>
      <c r="AQ24" s="2" t="s">
        <v>533</v>
      </c>
      <c r="AR24" s="2" t="s">
        <v>53</v>
      </c>
      <c r="AS24" s="2" t="s">
        <v>53</v>
      </c>
      <c r="AT24" s="4">
        <v>1</v>
      </c>
      <c r="AU24" s="2" t="s">
        <v>534</v>
      </c>
      <c r="AV24" s="2" t="s">
        <v>535</v>
      </c>
      <c r="AW24" s="2" t="s">
        <v>536</v>
      </c>
      <c r="AX24">
        <v>0</v>
      </c>
      <c r="AY24" s="10" t="s">
        <v>1073</v>
      </c>
    </row>
    <row r="25" spans="1:51" ht="180" x14ac:dyDescent="0.25">
      <c r="A25" s="2" t="s">
        <v>537</v>
      </c>
      <c r="B25" s="2" t="s">
        <v>538</v>
      </c>
      <c r="C25" s="2" t="s">
        <v>539</v>
      </c>
      <c r="D25" s="3" t="s">
        <v>540</v>
      </c>
      <c r="E25" s="2" t="s">
        <v>53</v>
      </c>
      <c r="F25" s="2" t="s">
        <v>53</v>
      </c>
      <c r="G25" s="2" t="s">
        <v>522</v>
      </c>
      <c r="H25" s="2" t="s">
        <v>541</v>
      </c>
      <c r="I25" s="2" t="s">
        <v>542</v>
      </c>
      <c r="J25" s="2" t="s">
        <v>543</v>
      </c>
      <c r="K25" s="2" t="s">
        <v>53</v>
      </c>
      <c r="L25" s="2" t="s">
        <v>544</v>
      </c>
      <c r="M25" s="2" t="s">
        <v>59</v>
      </c>
      <c r="N25" s="2" t="s">
        <v>545</v>
      </c>
      <c r="O25" s="2" t="s">
        <v>53</v>
      </c>
      <c r="P25" s="3" t="s">
        <v>435</v>
      </c>
      <c r="Q25" s="3" t="s">
        <v>546</v>
      </c>
      <c r="R25" s="4">
        <v>7</v>
      </c>
      <c r="S25" s="2" t="s">
        <v>547</v>
      </c>
      <c r="T25" s="2" t="s">
        <v>135</v>
      </c>
      <c r="U25" s="2" t="s">
        <v>65</v>
      </c>
      <c r="V25" s="5" t="b">
        <v>0</v>
      </c>
      <c r="W25" s="2" t="s">
        <v>531</v>
      </c>
      <c r="X25" s="5" t="b">
        <v>0</v>
      </c>
      <c r="Y25" s="2" t="s">
        <v>53</v>
      </c>
      <c r="Z25" s="2" t="s">
        <v>53</v>
      </c>
      <c r="AA25" s="2" t="s">
        <v>53</v>
      </c>
      <c r="AB25" s="5" t="b">
        <v>0</v>
      </c>
      <c r="AC25" s="5" t="b">
        <v>0</v>
      </c>
      <c r="AD25" s="2" t="s">
        <v>67</v>
      </c>
      <c r="AE25" s="2" t="s">
        <v>53</v>
      </c>
      <c r="AF25" s="2" t="s">
        <v>53</v>
      </c>
      <c r="AG25" s="2" t="s">
        <v>32</v>
      </c>
      <c r="AH25" s="6">
        <v>45749.341469907398</v>
      </c>
      <c r="AI25" s="5" t="b">
        <v>0</v>
      </c>
      <c r="AJ25" s="2" t="s">
        <v>548</v>
      </c>
      <c r="AL25" s="2" t="s">
        <v>53</v>
      </c>
      <c r="AM25" s="2" t="s">
        <v>53</v>
      </c>
      <c r="AO25" s="2" t="s">
        <v>53</v>
      </c>
      <c r="AP25" s="2" t="s">
        <v>135</v>
      </c>
      <c r="AQ25" s="2" t="s">
        <v>549</v>
      </c>
      <c r="AR25" s="2" t="s">
        <v>53</v>
      </c>
      <c r="AS25" s="2" t="s">
        <v>53</v>
      </c>
      <c r="AT25" s="4">
        <v>1</v>
      </c>
      <c r="AU25" s="2" t="s">
        <v>550</v>
      </c>
      <c r="AV25" s="2" t="s">
        <v>551</v>
      </c>
      <c r="AW25" s="2" t="s">
        <v>552</v>
      </c>
      <c r="AX25">
        <v>0</v>
      </c>
      <c r="AY25" s="10" t="s">
        <v>1074</v>
      </c>
    </row>
    <row r="26" spans="1:51" ht="330" x14ac:dyDescent="0.25">
      <c r="A26" s="2" t="s">
        <v>553</v>
      </c>
      <c r="B26" s="2" t="s">
        <v>554</v>
      </c>
      <c r="C26" s="2" t="s">
        <v>555</v>
      </c>
      <c r="D26" s="3" t="s">
        <v>556</v>
      </c>
      <c r="E26" s="2" t="s">
        <v>53</v>
      </c>
      <c r="F26" s="2" t="s">
        <v>53</v>
      </c>
      <c r="G26" s="2" t="s">
        <v>557</v>
      </c>
      <c r="H26" s="2" t="s">
        <v>558</v>
      </c>
      <c r="I26" s="2" t="s">
        <v>559</v>
      </c>
      <c r="J26" s="2" t="s">
        <v>560</v>
      </c>
      <c r="K26" s="2" t="s">
        <v>561</v>
      </c>
      <c r="L26" s="2" t="s">
        <v>562</v>
      </c>
      <c r="M26" s="2" t="s">
        <v>104</v>
      </c>
      <c r="N26" s="2" t="s">
        <v>563</v>
      </c>
      <c r="O26" s="2" t="s">
        <v>558</v>
      </c>
      <c r="P26" s="3" t="s">
        <v>369</v>
      </c>
      <c r="Q26" s="3" t="s">
        <v>370</v>
      </c>
      <c r="R26" s="4">
        <v>6</v>
      </c>
      <c r="S26" s="2" t="s">
        <v>564</v>
      </c>
      <c r="T26" s="2" t="s">
        <v>135</v>
      </c>
      <c r="U26" s="2" t="s">
        <v>565</v>
      </c>
      <c r="V26" s="5" t="b">
        <v>0</v>
      </c>
      <c r="W26" s="2" t="s">
        <v>566</v>
      </c>
      <c r="X26" s="5" t="b">
        <v>1</v>
      </c>
      <c r="Y26" s="2" t="s">
        <v>53</v>
      </c>
      <c r="Z26" s="2" t="s">
        <v>567</v>
      </c>
      <c r="AA26" s="2" t="s">
        <v>568</v>
      </c>
      <c r="AB26" s="5" t="b">
        <v>0</v>
      </c>
      <c r="AC26" s="5" t="b">
        <v>0</v>
      </c>
      <c r="AD26" s="2" t="s">
        <v>569</v>
      </c>
      <c r="AE26" s="2" t="s">
        <v>53</v>
      </c>
      <c r="AF26" s="2" t="s">
        <v>570</v>
      </c>
      <c r="AG26" s="2" t="s">
        <v>32</v>
      </c>
      <c r="AH26" s="6">
        <v>45835.470891203702</v>
      </c>
      <c r="AI26" s="5" t="b">
        <v>0</v>
      </c>
      <c r="AJ26" s="2" t="s">
        <v>571</v>
      </c>
      <c r="AL26" s="2" t="s">
        <v>53</v>
      </c>
      <c r="AM26" s="2" t="s">
        <v>53</v>
      </c>
      <c r="AO26" s="2" t="s">
        <v>53</v>
      </c>
      <c r="AP26" s="2" t="s">
        <v>135</v>
      </c>
      <c r="AQ26" s="2" t="s">
        <v>572</v>
      </c>
      <c r="AR26" s="2" t="s">
        <v>53</v>
      </c>
      <c r="AS26" s="2" t="s">
        <v>53</v>
      </c>
      <c r="AT26" s="4">
        <v>1</v>
      </c>
      <c r="AU26" s="2" t="s">
        <v>573</v>
      </c>
      <c r="AV26" s="2" t="s">
        <v>574</v>
      </c>
      <c r="AW26" s="2" t="s">
        <v>575</v>
      </c>
      <c r="AX26">
        <v>0</v>
      </c>
      <c r="AY26" s="10" t="s">
        <v>1075</v>
      </c>
    </row>
    <row r="27" spans="1:51" ht="330" x14ac:dyDescent="0.25">
      <c r="A27" s="2" t="s">
        <v>576</v>
      </c>
      <c r="B27" s="2" t="s">
        <v>577</v>
      </c>
      <c r="C27" s="2" t="s">
        <v>578</v>
      </c>
      <c r="D27" s="3" t="s">
        <v>579</v>
      </c>
      <c r="E27" s="2" t="s">
        <v>53</v>
      </c>
      <c r="F27" s="2" t="s">
        <v>53</v>
      </c>
      <c r="G27" s="2" t="s">
        <v>580</v>
      </c>
      <c r="H27" s="2" t="s">
        <v>581</v>
      </c>
      <c r="I27" s="2" t="s">
        <v>53</v>
      </c>
      <c r="J27" s="2" t="s">
        <v>582</v>
      </c>
      <c r="K27" s="2" t="s">
        <v>53</v>
      </c>
      <c r="L27" s="2" t="s">
        <v>583</v>
      </c>
      <c r="M27" s="2" t="s">
        <v>584</v>
      </c>
      <c r="N27" s="2" t="s">
        <v>585</v>
      </c>
      <c r="O27" s="2" t="s">
        <v>586</v>
      </c>
      <c r="P27" s="3" t="s">
        <v>587</v>
      </c>
      <c r="Q27" s="3" t="s">
        <v>588</v>
      </c>
      <c r="R27" s="4">
        <v>14</v>
      </c>
      <c r="S27" s="2" t="s">
        <v>589</v>
      </c>
      <c r="T27" s="2" t="s">
        <v>135</v>
      </c>
      <c r="U27" s="2" t="s">
        <v>590</v>
      </c>
      <c r="V27" s="5" t="b">
        <v>0</v>
      </c>
      <c r="W27" s="2" t="s">
        <v>591</v>
      </c>
      <c r="X27" s="5" t="b">
        <v>1</v>
      </c>
      <c r="Y27" s="2" t="s">
        <v>53</v>
      </c>
      <c r="Z27" s="2" t="s">
        <v>592</v>
      </c>
      <c r="AA27" s="2" t="s">
        <v>53</v>
      </c>
      <c r="AB27" s="5" t="b">
        <v>0</v>
      </c>
      <c r="AC27" s="5" t="b">
        <v>0</v>
      </c>
      <c r="AD27" s="2" t="s">
        <v>593</v>
      </c>
      <c r="AE27" s="2" t="s">
        <v>53</v>
      </c>
      <c r="AF27" s="2" t="s">
        <v>53</v>
      </c>
      <c r="AG27" s="2" t="s">
        <v>90</v>
      </c>
      <c r="AH27" s="6">
        <v>45967.601597222201</v>
      </c>
      <c r="AI27" s="5" t="b">
        <v>0</v>
      </c>
      <c r="AJ27" s="2" t="s">
        <v>594</v>
      </c>
      <c r="AL27" s="2" t="s">
        <v>53</v>
      </c>
      <c r="AM27" s="2" t="s">
        <v>53</v>
      </c>
      <c r="AO27" s="2" t="s">
        <v>53</v>
      </c>
      <c r="AP27" s="2" t="s">
        <v>135</v>
      </c>
      <c r="AQ27" s="2" t="s">
        <v>595</v>
      </c>
      <c r="AR27" s="2" t="s">
        <v>53</v>
      </c>
      <c r="AS27" s="2" t="s">
        <v>53</v>
      </c>
      <c r="AT27" s="4">
        <v>1</v>
      </c>
      <c r="AU27" s="2" t="s">
        <v>596</v>
      </c>
      <c r="AV27" s="2" t="s">
        <v>597</v>
      </c>
      <c r="AW27" s="2" t="s">
        <v>598</v>
      </c>
      <c r="AX27">
        <v>1</v>
      </c>
      <c r="AY27" s="10" t="s">
        <v>1076</v>
      </c>
    </row>
    <row r="28" spans="1:51" ht="150" x14ac:dyDescent="0.25">
      <c r="A28" s="2" t="s">
        <v>599</v>
      </c>
      <c r="B28" s="2" t="s">
        <v>600</v>
      </c>
      <c r="C28" s="2" t="s">
        <v>601</v>
      </c>
      <c r="D28" s="3" t="s">
        <v>602</v>
      </c>
      <c r="E28" s="2" t="s">
        <v>53</v>
      </c>
      <c r="F28" s="2" t="s">
        <v>53</v>
      </c>
      <c r="G28" s="2" t="s">
        <v>603</v>
      </c>
      <c r="H28" s="2" t="s">
        <v>604</v>
      </c>
      <c r="I28" s="2" t="s">
        <v>53</v>
      </c>
      <c r="J28" s="2" t="s">
        <v>605</v>
      </c>
      <c r="K28" s="2" t="s">
        <v>53</v>
      </c>
      <c r="L28" s="2" t="s">
        <v>606</v>
      </c>
      <c r="M28" s="2" t="s">
        <v>59</v>
      </c>
      <c r="N28" s="2" t="s">
        <v>607</v>
      </c>
      <c r="O28" s="2" t="s">
        <v>53</v>
      </c>
      <c r="P28" s="3" t="s">
        <v>608</v>
      </c>
      <c r="Q28" s="3" t="s">
        <v>315</v>
      </c>
      <c r="R28" s="4">
        <v>16</v>
      </c>
      <c r="S28" s="2" t="s">
        <v>609</v>
      </c>
      <c r="T28" s="2" t="s">
        <v>135</v>
      </c>
      <c r="U28" s="2" t="s">
        <v>610</v>
      </c>
      <c r="V28" s="5" t="b">
        <v>0</v>
      </c>
      <c r="W28" s="2" t="s">
        <v>611</v>
      </c>
      <c r="X28" s="5" t="b">
        <v>0</v>
      </c>
      <c r="Y28" s="2" t="s">
        <v>612</v>
      </c>
      <c r="Z28" s="2" t="s">
        <v>613</v>
      </c>
      <c r="AA28" s="2" t="s">
        <v>614</v>
      </c>
      <c r="AB28" s="5" t="b">
        <v>0</v>
      </c>
      <c r="AC28" s="5" t="b">
        <v>0</v>
      </c>
      <c r="AD28" s="2" t="s">
        <v>615</v>
      </c>
      <c r="AE28" s="2" t="s">
        <v>53</v>
      </c>
      <c r="AF28" s="2" t="s">
        <v>53</v>
      </c>
      <c r="AG28" s="2" t="s">
        <v>90</v>
      </c>
      <c r="AH28" s="6">
        <v>45667.406979166699</v>
      </c>
      <c r="AI28" s="5" t="b">
        <v>0</v>
      </c>
      <c r="AJ28" s="2" t="s">
        <v>616</v>
      </c>
      <c r="AL28" s="2" t="s">
        <v>53</v>
      </c>
      <c r="AM28" s="2" t="s">
        <v>53</v>
      </c>
      <c r="AO28" s="2" t="s">
        <v>53</v>
      </c>
      <c r="AP28" s="2" t="s">
        <v>135</v>
      </c>
      <c r="AQ28" s="2" t="s">
        <v>617</v>
      </c>
      <c r="AR28" s="2" t="s">
        <v>53</v>
      </c>
      <c r="AS28" s="2" t="s">
        <v>53</v>
      </c>
      <c r="AT28" s="4">
        <v>2</v>
      </c>
      <c r="AU28" s="2" t="s">
        <v>618</v>
      </c>
      <c r="AV28" s="2" t="s">
        <v>619</v>
      </c>
      <c r="AW28" s="2" t="s">
        <v>620</v>
      </c>
      <c r="AX28">
        <v>0</v>
      </c>
      <c r="AY28" s="10" t="s">
        <v>1077</v>
      </c>
    </row>
    <row r="29" spans="1:51" ht="135" x14ac:dyDescent="0.25">
      <c r="A29" s="2" t="s">
        <v>621</v>
      </c>
      <c r="B29" s="2" t="s">
        <v>622</v>
      </c>
      <c r="C29" s="2" t="s">
        <v>623</v>
      </c>
      <c r="D29" s="3" t="s">
        <v>624</v>
      </c>
      <c r="E29" s="2" t="s">
        <v>53</v>
      </c>
      <c r="F29" s="2" t="s">
        <v>53</v>
      </c>
      <c r="G29" s="2" t="s">
        <v>625</v>
      </c>
      <c r="H29" s="2" t="s">
        <v>626</v>
      </c>
      <c r="I29" s="2" t="s">
        <v>53</v>
      </c>
      <c r="J29" s="2" t="s">
        <v>627</v>
      </c>
      <c r="K29" s="2" t="s">
        <v>628</v>
      </c>
      <c r="L29" s="2" t="s">
        <v>629</v>
      </c>
      <c r="M29" s="2" t="s">
        <v>630</v>
      </c>
      <c r="N29" s="2" t="s">
        <v>631</v>
      </c>
      <c r="O29" s="2" t="s">
        <v>626</v>
      </c>
      <c r="P29" s="3" t="s">
        <v>632</v>
      </c>
      <c r="Q29" s="3" t="s">
        <v>633</v>
      </c>
      <c r="R29" s="4">
        <v>9</v>
      </c>
      <c r="S29" s="2" t="s">
        <v>634</v>
      </c>
      <c r="T29" s="2" t="s">
        <v>135</v>
      </c>
      <c r="U29" s="2" t="s">
        <v>295</v>
      </c>
      <c r="V29" s="5" t="b">
        <v>0</v>
      </c>
      <c r="W29" s="2" t="s">
        <v>635</v>
      </c>
      <c r="X29" s="5" t="b">
        <v>0</v>
      </c>
      <c r="Y29" s="2" t="s">
        <v>53</v>
      </c>
      <c r="Z29" s="2" t="s">
        <v>636</v>
      </c>
      <c r="AA29" s="2" t="s">
        <v>637</v>
      </c>
      <c r="AB29" s="5" t="b">
        <v>0</v>
      </c>
      <c r="AC29" s="5" t="b">
        <v>0</v>
      </c>
      <c r="AD29" s="2" t="s">
        <v>299</v>
      </c>
      <c r="AE29" s="2" t="s">
        <v>53</v>
      </c>
      <c r="AF29" s="2" t="s">
        <v>638</v>
      </c>
      <c r="AG29" s="2" t="s">
        <v>32</v>
      </c>
      <c r="AH29" s="6">
        <v>45848.380231481497</v>
      </c>
      <c r="AI29" s="5" t="b">
        <v>0</v>
      </c>
      <c r="AJ29" s="2" t="s">
        <v>639</v>
      </c>
      <c r="AL29" s="2" t="s">
        <v>53</v>
      </c>
      <c r="AM29" s="2" t="s">
        <v>53</v>
      </c>
      <c r="AO29" s="2" t="s">
        <v>53</v>
      </c>
      <c r="AP29" s="2" t="s">
        <v>135</v>
      </c>
      <c r="AQ29" s="2" t="s">
        <v>640</v>
      </c>
      <c r="AR29" s="2" t="s">
        <v>53</v>
      </c>
      <c r="AS29" s="2" t="s">
        <v>53</v>
      </c>
      <c r="AT29" s="4">
        <v>1</v>
      </c>
      <c r="AU29" s="2" t="s">
        <v>641</v>
      </c>
      <c r="AV29" s="2" t="s">
        <v>642</v>
      </c>
      <c r="AW29" s="2" t="s">
        <v>643</v>
      </c>
      <c r="AX29">
        <v>0</v>
      </c>
      <c r="AY29" s="10" t="s">
        <v>1078</v>
      </c>
    </row>
    <row r="30" spans="1:51" ht="315" x14ac:dyDescent="0.25">
      <c r="A30" s="2" t="s">
        <v>644</v>
      </c>
      <c r="B30" s="2" t="s">
        <v>577</v>
      </c>
      <c r="C30" s="2" t="s">
        <v>645</v>
      </c>
      <c r="D30" s="3" t="s">
        <v>646</v>
      </c>
      <c r="E30" s="2" t="s">
        <v>53</v>
      </c>
      <c r="F30" s="2" t="s">
        <v>53</v>
      </c>
      <c r="G30" s="2" t="s">
        <v>647</v>
      </c>
      <c r="H30" s="2" t="s">
        <v>648</v>
      </c>
      <c r="I30" s="2" t="s">
        <v>53</v>
      </c>
      <c r="J30" s="2" t="s">
        <v>649</v>
      </c>
      <c r="K30" s="2" t="s">
        <v>53</v>
      </c>
      <c r="L30" s="2" t="s">
        <v>583</v>
      </c>
      <c r="M30" s="2" t="s">
        <v>584</v>
      </c>
      <c r="N30" s="2" t="s">
        <v>650</v>
      </c>
      <c r="O30" s="2" t="s">
        <v>651</v>
      </c>
      <c r="P30" s="3" t="s">
        <v>331</v>
      </c>
      <c r="Q30" s="3" t="s">
        <v>652</v>
      </c>
      <c r="R30" s="4">
        <v>25</v>
      </c>
      <c r="S30" s="2" t="s">
        <v>653</v>
      </c>
      <c r="T30" s="2" t="s">
        <v>64</v>
      </c>
      <c r="U30" s="2" t="s">
        <v>206</v>
      </c>
      <c r="V30" s="5" t="b">
        <v>0</v>
      </c>
      <c r="W30" s="2" t="s">
        <v>654</v>
      </c>
      <c r="X30" s="5" t="b">
        <v>0</v>
      </c>
      <c r="Y30" s="2" t="s">
        <v>53</v>
      </c>
      <c r="Z30" s="2" t="s">
        <v>655</v>
      </c>
      <c r="AA30" s="2" t="s">
        <v>656</v>
      </c>
      <c r="AB30" s="5" t="b">
        <v>0</v>
      </c>
      <c r="AC30" s="5" t="b">
        <v>0</v>
      </c>
      <c r="AD30" s="2" t="s">
        <v>209</v>
      </c>
      <c r="AE30" s="2" t="s">
        <v>53</v>
      </c>
      <c r="AF30" s="2" t="s">
        <v>53</v>
      </c>
      <c r="AG30" s="2" t="s">
        <v>90</v>
      </c>
      <c r="AH30" s="6">
        <v>45968.412453703699</v>
      </c>
      <c r="AI30" s="5" t="b">
        <v>0</v>
      </c>
      <c r="AJ30" s="2" t="s">
        <v>657</v>
      </c>
      <c r="AL30" s="2" t="s">
        <v>53</v>
      </c>
      <c r="AM30" s="2" t="s">
        <v>53</v>
      </c>
      <c r="AO30" s="2" t="s">
        <v>53</v>
      </c>
      <c r="AP30" s="2" t="s">
        <v>64</v>
      </c>
      <c r="AQ30" s="2" t="s">
        <v>53</v>
      </c>
      <c r="AR30" s="2" t="s">
        <v>53</v>
      </c>
      <c r="AS30" s="2" t="s">
        <v>53</v>
      </c>
      <c r="AT30" s="4">
        <v>2</v>
      </c>
      <c r="AU30" s="2" t="s">
        <v>658</v>
      </c>
      <c r="AV30" s="2" t="s">
        <v>659</v>
      </c>
      <c r="AW30" s="2" t="s">
        <v>660</v>
      </c>
      <c r="AX30">
        <v>1</v>
      </c>
      <c r="AY30" s="10" t="s">
        <v>1076</v>
      </c>
    </row>
    <row r="31" spans="1:51" ht="285" x14ac:dyDescent="0.25">
      <c r="A31" s="2" t="s">
        <v>661</v>
      </c>
      <c r="B31" s="2" t="s">
        <v>662</v>
      </c>
      <c r="C31" s="2" t="s">
        <v>663</v>
      </c>
      <c r="D31" s="3" t="s">
        <v>664</v>
      </c>
      <c r="E31" s="2" t="s">
        <v>53</v>
      </c>
      <c r="F31" s="2" t="s">
        <v>53</v>
      </c>
      <c r="G31" s="2" t="s">
        <v>665</v>
      </c>
      <c r="H31" s="2" t="s">
        <v>666</v>
      </c>
      <c r="I31" s="2" t="s">
        <v>53</v>
      </c>
      <c r="J31" s="2" t="s">
        <v>667</v>
      </c>
      <c r="K31" s="2" t="s">
        <v>53</v>
      </c>
      <c r="L31" s="2" t="s">
        <v>668</v>
      </c>
      <c r="M31" s="2" t="s">
        <v>669</v>
      </c>
      <c r="N31" s="2" t="s">
        <v>670</v>
      </c>
      <c r="O31" s="2" t="s">
        <v>671</v>
      </c>
      <c r="P31" s="3" t="s">
        <v>351</v>
      </c>
      <c r="Q31" s="3" t="s">
        <v>352</v>
      </c>
      <c r="R31" s="4">
        <v>35</v>
      </c>
      <c r="S31" s="2" t="s">
        <v>672</v>
      </c>
      <c r="T31" s="2" t="s">
        <v>64</v>
      </c>
      <c r="U31" s="2" t="s">
        <v>673</v>
      </c>
      <c r="V31" s="5" t="b">
        <v>0</v>
      </c>
      <c r="W31" s="2" t="s">
        <v>674</v>
      </c>
      <c r="X31" s="5" t="b">
        <v>1</v>
      </c>
      <c r="Y31" s="2" t="s">
        <v>53</v>
      </c>
      <c r="Z31" s="2" t="s">
        <v>675</v>
      </c>
      <c r="AA31" s="2" t="s">
        <v>675</v>
      </c>
      <c r="AB31" s="5" t="b">
        <v>0</v>
      </c>
      <c r="AC31" s="5" t="b">
        <v>0</v>
      </c>
      <c r="AD31" s="2" t="s">
        <v>676</v>
      </c>
      <c r="AE31" s="2" t="s">
        <v>53</v>
      </c>
      <c r="AF31" s="2" t="s">
        <v>677</v>
      </c>
      <c r="AG31" s="2" t="s">
        <v>32</v>
      </c>
      <c r="AH31" s="6">
        <v>45922.614305555602</v>
      </c>
      <c r="AI31" s="5" t="b">
        <v>0</v>
      </c>
      <c r="AJ31" s="2" t="s">
        <v>678</v>
      </c>
      <c r="AL31" s="2" t="s">
        <v>53</v>
      </c>
      <c r="AM31" s="2" t="s">
        <v>53</v>
      </c>
      <c r="AO31" s="2" t="s">
        <v>53</v>
      </c>
      <c r="AP31" s="2" t="s">
        <v>64</v>
      </c>
      <c r="AQ31" s="2" t="s">
        <v>679</v>
      </c>
      <c r="AR31" s="2" t="s">
        <v>680</v>
      </c>
      <c r="AS31" s="2" t="s">
        <v>53</v>
      </c>
      <c r="AT31" s="4">
        <v>1</v>
      </c>
      <c r="AU31" s="2" t="s">
        <v>681</v>
      </c>
      <c r="AV31" s="2" t="s">
        <v>682</v>
      </c>
      <c r="AW31" s="2" t="s">
        <v>683</v>
      </c>
      <c r="AX31">
        <v>0</v>
      </c>
      <c r="AY31" s="10" t="s">
        <v>1079</v>
      </c>
    </row>
    <row r="32" spans="1:51" ht="165" x14ac:dyDescent="0.25">
      <c r="A32" s="2" t="s">
        <v>684</v>
      </c>
      <c r="B32" s="2" t="s">
        <v>622</v>
      </c>
      <c r="C32" s="2" t="s">
        <v>685</v>
      </c>
      <c r="D32" s="3" t="s">
        <v>686</v>
      </c>
      <c r="E32" s="2" t="s">
        <v>53</v>
      </c>
      <c r="F32" s="2" t="s">
        <v>53</v>
      </c>
      <c r="G32" s="2" t="s">
        <v>687</v>
      </c>
      <c r="H32" s="2" t="s">
        <v>688</v>
      </c>
      <c r="I32" s="2" t="s">
        <v>53</v>
      </c>
      <c r="J32" s="2" t="s">
        <v>689</v>
      </c>
      <c r="K32" s="2" t="s">
        <v>53</v>
      </c>
      <c r="L32" s="2" t="s">
        <v>690</v>
      </c>
      <c r="M32" s="2" t="s">
        <v>630</v>
      </c>
      <c r="N32" s="2" t="s">
        <v>691</v>
      </c>
      <c r="O32" s="2" t="s">
        <v>692</v>
      </c>
      <c r="P32" s="3" t="s">
        <v>693</v>
      </c>
      <c r="Q32" s="3" t="s">
        <v>694</v>
      </c>
      <c r="R32" s="4">
        <v>43</v>
      </c>
      <c r="S32" s="2" t="s">
        <v>695</v>
      </c>
      <c r="T32" s="2" t="s">
        <v>64</v>
      </c>
      <c r="U32" s="2" t="s">
        <v>696</v>
      </c>
      <c r="V32" s="5" t="b">
        <v>0</v>
      </c>
      <c r="W32" s="2" t="s">
        <v>697</v>
      </c>
      <c r="X32" s="5" t="b">
        <v>0</v>
      </c>
      <c r="Y32" s="2" t="s">
        <v>698</v>
      </c>
      <c r="Z32" s="2" t="s">
        <v>699</v>
      </c>
      <c r="AA32" s="2" t="s">
        <v>53</v>
      </c>
      <c r="AB32" s="5" t="b">
        <v>0</v>
      </c>
      <c r="AC32" s="5" t="b">
        <v>0</v>
      </c>
      <c r="AD32" s="2" t="s">
        <v>700</v>
      </c>
      <c r="AE32" s="2" t="s">
        <v>53</v>
      </c>
      <c r="AF32" s="2" t="s">
        <v>53</v>
      </c>
      <c r="AG32" s="2" t="s">
        <v>32</v>
      </c>
      <c r="AH32" s="6">
        <v>45953.633865740703</v>
      </c>
      <c r="AI32" s="5" t="b">
        <v>0</v>
      </c>
      <c r="AJ32" s="2" t="s">
        <v>701</v>
      </c>
      <c r="AL32" s="2" t="s">
        <v>53</v>
      </c>
      <c r="AM32" s="2" t="s">
        <v>53</v>
      </c>
      <c r="AO32" s="2" t="s">
        <v>53</v>
      </c>
      <c r="AP32" s="2" t="s">
        <v>64</v>
      </c>
      <c r="AQ32" s="2" t="s">
        <v>702</v>
      </c>
      <c r="AR32" s="2" t="s">
        <v>703</v>
      </c>
      <c r="AS32" s="2" t="s">
        <v>53</v>
      </c>
      <c r="AT32" s="4">
        <v>2</v>
      </c>
      <c r="AU32" s="2" t="s">
        <v>704</v>
      </c>
      <c r="AV32" s="2" t="s">
        <v>705</v>
      </c>
      <c r="AW32" s="2" t="s">
        <v>706</v>
      </c>
      <c r="AX32">
        <v>0</v>
      </c>
      <c r="AY32" s="10" t="s">
        <v>1081</v>
      </c>
    </row>
    <row r="33" spans="1:51" ht="60" x14ac:dyDescent="0.25">
      <c r="A33" s="2" t="s">
        <v>707</v>
      </c>
      <c r="B33" s="2" t="s">
        <v>708</v>
      </c>
      <c r="C33" s="2" t="s">
        <v>709</v>
      </c>
      <c r="D33" s="3" t="s">
        <v>710</v>
      </c>
      <c r="E33" s="2" t="s">
        <v>53</v>
      </c>
      <c r="F33" s="2" t="s">
        <v>53</v>
      </c>
      <c r="G33" s="2" t="s">
        <v>711</v>
      </c>
      <c r="H33" s="2" t="s">
        <v>712</v>
      </c>
      <c r="I33" s="2" t="s">
        <v>53</v>
      </c>
      <c r="J33" s="2" t="s">
        <v>713</v>
      </c>
      <c r="K33" s="2" t="s">
        <v>53</v>
      </c>
      <c r="L33" s="2" t="s">
        <v>714</v>
      </c>
      <c r="M33" s="2" t="s">
        <v>715</v>
      </c>
      <c r="N33" s="2" t="s">
        <v>716</v>
      </c>
      <c r="O33" s="2" t="s">
        <v>53</v>
      </c>
      <c r="P33" s="3" t="s">
        <v>717</v>
      </c>
      <c r="Q33" s="3" t="s">
        <v>718</v>
      </c>
      <c r="R33" s="4">
        <v>3</v>
      </c>
      <c r="S33" s="2" t="s">
        <v>719</v>
      </c>
      <c r="T33" s="2" t="s">
        <v>64</v>
      </c>
      <c r="U33" s="2" t="s">
        <v>720</v>
      </c>
      <c r="V33" s="5" t="b">
        <v>0</v>
      </c>
      <c r="W33" s="2" t="s">
        <v>721</v>
      </c>
      <c r="X33" s="5" t="b">
        <v>0</v>
      </c>
      <c r="Y33" s="2" t="s">
        <v>53</v>
      </c>
      <c r="Z33" s="2" t="s">
        <v>53</v>
      </c>
      <c r="AA33" s="2" t="s">
        <v>53</v>
      </c>
      <c r="AB33" s="5" t="b">
        <v>0</v>
      </c>
      <c r="AC33" s="5" t="b">
        <v>0</v>
      </c>
      <c r="AD33" s="2" t="s">
        <v>722</v>
      </c>
      <c r="AE33" s="2" t="s">
        <v>53</v>
      </c>
      <c r="AF33" s="2" t="s">
        <v>53</v>
      </c>
      <c r="AG33" s="2" t="s">
        <v>32</v>
      </c>
      <c r="AH33" s="6">
        <v>45855.6633912037</v>
      </c>
      <c r="AI33" s="5" t="b">
        <v>0</v>
      </c>
      <c r="AJ33" s="2" t="s">
        <v>723</v>
      </c>
      <c r="AL33" s="2" t="s">
        <v>53</v>
      </c>
      <c r="AM33" s="2" t="s">
        <v>53</v>
      </c>
      <c r="AO33" s="2" t="s">
        <v>53</v>
      </c>
      <c r="AP33" s="2" t="s">
        <v>64</v>
      </c>
      <c r="AQ33" s="2" t="s">
        <v>724</v>
      </c>
      <c r="AR33" s="2" t="s">
        <v>53</v>
      </c>
      <c r="AS33" s="2" t="s">
        <v>53</v>
      </c>
      <c r="AT33" s="4">
        <v>2</v>
      </c>
      <c r="AU33" s="2" t="s">
        <v>725</v>
      </c>
      <c r="AV33" s="2" t="s">
        <v>726</v>
      </c>
      <c r="AW33" s="2" t="s">
        <v>727</v>
      </c>
      <c r="AX33">
        <v>0</v>
      </c>
      <c r="AY33" s="10" t="s">
        <v>1080</v>
      </c>
    </row>
    <row r="34" spans="1:51" ht="210" x14ac:dyDescent="0.25">
      <c r="A34" s="2" t="s">
        <v>728</v>
      </c>
      <c r="B34" s="2" t="s">
        <v>729</v>
      </c>
      <c r="C34" s="2" t="s">
        <v>730</v>
      </c>
      <c r="D34" s="3" t="s">
        <v>99</v>
      </c>
      <c r="E34" s="2" t="s">
        <v>53</v>
      </c>
      <c r="F34" s="2" t="s">
        <v>53</v>
      </c>
      <c r="G34" s="2" t="s">
        <v>731</v>
      </c>
      <c r="H34" s="2" t="s">
        <v>732</v>
      </c>
      <c r="I34" s="2" t="s">
        <v>733</v>
      </c>
      <c r="J34" s="2" t="s">
        <v>734</v>
      </c>
      <c r="K34" s="2" t="s">
        <v>53</v>
      </c>
      <c r="L34" s="2" t="s">
        <v>735</v>
      </c>
      <c r="M34" s="2" t="s">
        <v>736</v>
      </c>
      <c r="N34" s="2" t="s">
        <v>737</v>
      </c>
      <c r="O34" s="2" t="s">
        <v>738</v>
      </c>
      <c r="P34" s="3" t="s">
        <v>739</v>
      </c>
      <c r="Q34" s="3" t="s">
        <v>740</v>
      </c>
      <c r="R34" s="4">
        <v>48</v>
      </c>
      <c r="S34" s="2" t="s">
        <v>53</v>
      </c>
      <c r="T34" s="2" t="s">
        <v>109</v>
      </c>
      <c r="U34" s="2" t="s">
        <v>372</v>
      </c>
      <c r="V34" s="5" t="b">
        <v>0</v>
      </c>
      <c r="W34" s="2" t="s">
        <v>741</v>
      </c>
      <c r="X34" s="5" t="b">
        <v>0</v>
      </c>
      <c r="Y34" s="2" t="s">
        <v>53</v>
      </c>
      <c r="Z34" s="2" t="s">
        <v>742</v>
      </c>
      <c r="AA34" s="2" t="s">
        <v>743</v>
      </c>
      <c r="AB34" s="5" t="b">
        <v>0</v>
      </c>
      <c r="AC34" s="5" t="b">
        <v>0</v>
      </c>
      <c r="AD34" s="2" t="s">
        <v>375</v>
      </c>
      <c r="AE34" s="2" t="s">
        <v>53</v>
      </c>
      <c r="AF34" s="2" t="s">
        <v>744</v>
      </c>
      <c r="AG34" s="2" t="s">
        <v>90</v>
      </c>
      <c r="AH34" s="6">
        <v>45768.532129629602</v>
      </c>
      <c r="AI34" s="5" t="b">
        <v>0</v>
      </c>
      <c r="AJ34" s="2" t="s">
        <v>745</v>
      </c>
      <c r="AL34" s="2" t="s">
        <v>53</v>
      </c>
      <c r="AM34" s="2" t="s">
        <v>53</v>
      </c>
      <c r="AO34" s="2" t="s">
        <v>53</v>
      </c>
      <c r="AP34" s="2" t="s">
        <v>109</v>
      </c>
      <c r="AQ34" s="2" t="s">
        <v>746</v>
      </c>
      <c r="AR34" s="2" t="s">
        <v>53</v>
      </c>
      <c r="AS34" s="2" t="s">
        <v>53</v>
      </c>
      <c r="AT34" s="4">
        <v>1</v>
      </c>
      <c r="AU34" s="2" t="s">
        <v>747</v>
      </c>
      <c r="AV34" s="2" t="s">
        <v>748</v>
      </c>
      <c r="AW34" s="2" t="s">
        <v>749</v>
      </c>
      <c r="AX34">
        <v>1</v>
      </c>
      <c r="AY34" s="10" t="s">
        <v>1082</v>
      </c>
    </row>
    <row r="35" spans="1:51" ht="315" x14ac:dyDescent="0.25">
      <c r="A35" s="2" t="s">
        <v>750</v>
      </c>
      <c r="B35" s="2" t="s">
        <v>751</v>
      </c>
      <c r="C35" s="2" t="s">
        <v>752</v>
      </c>
      <c r="D35" s="3" t="s">
        <v>753</v>
      </c>
      <c r="E35" s="2" t="s">
        <v>53</v>
      </c>
      <c r="F35" s="2" t="s">
        <v>53</v>
      </c>
      <c r="G35" s="2" t="s">
        <v>754</v>
      </c>
      <c r="H35" s="2" t="s">
        <v>755</v>
      </c>
      <c r="I35" s="2" t="s">
        <v>756</v>
      </c>
      <c r="J35" s="2" t="s">
        <v>757</v>
      </c>
      <c r="K35" s="2" t="s">
        <v>53</v>
      </c>
      <c r="L35" s="2" t="s">
        <v>758</v>
      </c>
      <c r="M35" s="2" t="s">
        <v>759</v>
      </c>
      <c r="N35" s="2" t="s">
        <v>760</v>
      </c>
      <c r="O35" s="2" t="s">
        <v>53</v>
      </c>
      <c r="P35" s="3" t="s">
        <v>435</v>
      </c>
      <c r="Q35" s="3" t="s">
        <v>546</v>
      </c>
      <c r="R35" s="4">
        <v>19</v>
      </c>
      <c r="S35" s="2" t="s">
        <v>761</v>
      </c>
      <c r="T35" s="2" t="s">
        <v>135</v>
      </c>
      <c r="U35" s="2" t="s">
        <v>65</v>
      </c>
      <c r="V35" s="5" t="b">
        <v>0</v>
      </c>
      <c r="W35" s="2" t="s">
        <v>762</v>
      </c>
      <c r="X35" s="5" t="b">
        <v>1</v>
      </c>
      <c r="Y35" s="2" t="s">
        <v>53</v>
      </c>
      <c r="Z35" s="2" t="s">
        <v>53</v>
      </c>
      <c r="AA35" s="2" t="s">
        <v>53</v>
      </c>
      <c r="AB35" s="5" t="b">
        <v>0</v>
      </c>
      <c r="AC35" s="5" t="b">
        <v>0</v>
      </c>
      <c r="AD35" s="2" t="s">
        <v>67</v>
      </c>
      <c r="AE35" s="2" t="s">
        <v>53</v>
      </c>
      <c r="AF35" s="2" t="s">
        <v>53</v>
      </c>
      <c r="AG35" s="2" t="s">
        <v>32</v>
      </c>
      <c r="AH35" s="6">
        <v>45763.366817129601</v>
      </c>
      <c r="AI35" s="5" t="b">
        <v>0</v>
      </c>
      <c r="AJ35" s="2" t="s">
        <v>763</v>
      </c>
      <c r="AL35" s="2" t="s">
        <v>53</v>
      </c>
      <c r="AM35" s="2" t="s">
        <v>53</v>
      </c>
      <c r="AO35" s="2" t="s">
        <v>53</v>
      </c>
      <c r="AP35" s="2" t="s">
        <v>135</v>
      </c>
      <c r="AQ35" s="2" t="s">
        <v>764</v>
      </c>
      <c r="AR35" s="2" t="s">
        <v>53</v>
      </c>
      <c r="AS35" s="2" t="s">
        <v>53</v>
      </c>
      <c r="AT35" s="4">
        <v>2</v>
      </c>
      <c r="AU35" s="2" t="s">
        <v>765</v>
      </c>
      <c r="AV35" s="2" t="s">
        <v>766</v>
      </c>
      <c r="AW35" s="2" t="s">
        <v>767</v>
      </c>
      <c r="AX35">
        <v>0</v>
      </c>
      <c r="AY35" s="10" t="s">
        <v>1083</v>
      </c>
    </row>
    <row r="36" spans="1:51" ht="195" x14ac:dyDescent="0.25">
      <c r="A36" s="2" t="s">
        <v>768</v>
      </c>
      <c r="B36" s="2" t="s">
        <v>769</v>
      </c>
      <c r="C36" s="2" t="s">
        <v>770</v>
      </c>
      <c r="D36" s="3" t="s">
        <v>771</v>
      </c>
      <c r="E36" s="2" t="s">
        <v>53</v>
      </c>
      <c r="F36" s="2" t="s">
        <v>53</v>
      </c>
      <c r="G36" s="2" t="s">
        <v>772</v>
      </c>
      <c r="H36" s="2" t="s">
        <v>773</v>
      </c>
      <c r="I36" s="2" t="s">
        <v>774</v>
      </c>
      <c r="J36" s="2" t="s">
        <v>775</v>
      </c>
      <c r="K36" s="2" t="s">
        <v>53</v>
      </c>
      <c r="L36" s="2" t="s">
        <v>410</v>
      </c>
      <c r="M36" s="2" t="s">
        <v>776</v>
      </c>
      <c r="N36" s="2" t="s">
        <v>777</v>
      </c>
      <c r="O36" s="2" t="s">
        <v>53</v>
      </c>
      <c r="P36" s="3" t="s">
        <v>351</v>
      </c>
      <c r="Q36" s="3" t="s">
        <v>352</v>
      </c>
      <c r="R36" s="4">
        <v>25</v>
      </c>
      <c r="S36" s="2" t="s">
        <v>778</v>
      </c>
      <c r="T36" s="2" t="s">
        <v>135</v>
      </c>
      <c r="U36" s="2" t="s">
        <v>65</v>
      </c>
      <c r="V36" s="5" t="b">
        <v>0</v>
      </c>
      <c r="W36" s="2" t="s">
        <v>779</v>
      </c>
      <c r="X36" s="5" t="b">
        <v>1</v>
      </c>
      <c r="Y36" s="2" t="s">
        <v>53</v>
      </c>
      <c r="Z36" s="2" t="s">
        <v>53</v>
      </c>
      <c r="AA36" s="2" t="s">
        <v>53</v>
      </c>
      <c r="AB36" s="5" t="b">
        <v>0</v>
      </c>
      <c r="AC36" s="5" t="b">
        <v>0</v>
      </c>
      <c r="AD36" s="2" t="s">
        <v>67</v>
      </c>
      <c r="AE36" s="2" t="s">
        <v>53</v>
      </c>
      <c r="AF36" s="2" t="s">
        <v>53</v>
      </c>
      <c r="AG36" s="2" t="s">
        <v>32</v>
      </c>
      <c r="AH36" s="6">
        <v>45852.525439814803</v>
      </c>
      <c r="AI36" s="5" t="b">
        <v>0</v>
      </c>
      <c r="AJ36" s="2" t="s">
        <v>780</v>
      </c>
      <c r="AL36" s="2" t="s">
        <v>53</v>
      </c>
      <c r="AM36" s="2" t="s">
        <v>53</v>
      </c>
      <c r="AO36" s="2" t="s">
        <v>53</v>
      </c>
      <c r="AP36" s="2" t="s">
        <v>135</v>
      </c>
      <c r="AQ36" s="2" t="s">
        <v>781</v>
      </c>
      <c r="AR36" s="2" t="s">
        <v>53</v>
      </c>
      <c r="AS36" s="2" t="s">
        <v>53</v>
      </c>
      <c r="AT36" s="4">
        <v>1</v>
      </c>
      <c r="AU36" s="2" t="s">
        <v>782</v>
      </c>
      <c r="AV36" s="2" t="s">
        <v>783</v>
      </c>
      <c r="AW36" s="2" t="s">
        <v>784</v>
      </c>
      <c r="AX36">
        <v>0</v>
      </c>
      <c r="AY36" s="10" t="s">
        <v>1084</v>
      </c>
    </row>
    <row r="37" spans="1:51" ht="165" x14ac:dyDescent="0.25">
      <c r="A37" s="2" t="s">
        <v>785</v>
      </c>
      <c r="B37" s="2" t="s">
        <v>786</v>
      </c>
      <c r="C37" s="2" t="s">
        <v>787</v>
      </c>
      <c r="D37" s="3" t="s">
        <v>788</v>
      </c>
      <c r="E37" s="2" t="s">
        <v>53</v>
      </c>
      <c r="F37" s="2" t="s">
        <v>53</v>
      </c>
      <c r="G37" s="2" t="s">
        <v>218</v>
      </c>
      <c r="H37" s="2" t="s">
        <v>789</v>
      </c>
      <c r="I37" s="2" t="s">
        <v>53</v>
      </c>
      <c r="J37" s="2" t="s">
        <v>790</v>
      </c>
      <c r="K37" s="2" t="s">
        <v>53</v>
      </c>
      <c r="L37" s="2" t="s">
        <v>791</v>
      </c>
      <c r="M37" s="2" t="s">
        <v>792</v>
      </c>
      <c r="N37" s="2" t="s">
        <v>793</v>
      </c>
      <c r="O37" s="2" t="s">
        <v>794</v>
      </c>
      <c r="P37" s="3" t="s">
        <v>795</v>
      </c>
      <c r="Q37" s="3" t="s">
        <v>796</v>
      </c>
      <c r="R37" s="4">
        <v>15</v>
      </c>
      <c r="S37" s="2" t="s">
        <v>797</v>
      </c>
      <c r="T37" s="2" t="s">
        <v>135</v>
      </c>
      <c r="U37" s="2" t="s">
        <v>798</v>
      </c>
      <c r="V37" s="5" t="b">
        <v>0</v>
      </c>
      <c r="W37" s="2" t="s">
        <v>228</v>
      </c>
      <c r="X37" s="5" t="b">
        <v>0</v>
      </c>
      <c r="Y37" s="2" t="s">
        <v>799</v>
      </c>
      <c r="Z37" s="2" t="s">
        <v>800</v>
      </c>
      <c r="AA37" s="2" t="s">
        <v>801</v>
      </c>
      <c r="AB37" s="5" t="b">
        <v>0</v>
      </c>
      <c r="AC37" s="5" t="b">
        <v>0</v>
      </c>
      <c r="AD37" s="2" t="s">
        <v>802</v>
      </c>
      <c r="AE37" s="2" t="s">
        <v>53</v>
      </c>
      <c r="AF37" s="2" t="s">
        <v>803</v>
      </c>
      <c r="AG37" s="2" t="s">
        <v>90</v>
      </c>
      <c r="AH37" s="6">
        <v>46020.650219907402</v>
      </c>
      <c r="AI37" s="5" t="b">
        <v>0</v>
      </c>
      <c r="AJ37" s="2" t="s">
        <v>804</v>
      </c>
      <c r="AL37" s="2" t="s">
        <v>53</v>
      </c>
      <c r="AM37" s="2" t="s">
        <v>53</v>
      </c>
      <c r="AO37" s="2" t="s">
        <v>53</v>
      </c>
      <c r="AP37" s="2" t="s">
        <v>135</v>
      </c>
      <c r="AQ37" s="2" t="s">
        <v>805</v>
      </c>
      <c r="AR37" s="2" t="s">
        <v>53</v>
      </c>
      <c r="AS37" s="2" t="s">
        <v>53</v>
      </c>
      <c r="AT37" s="4">
        <v>2</v>
      </c>
      <c r="AU37" s="2" t="s">
        <v>806</v>
      </c>
      <c r="AV37" s="2" t="s">
        <v>807</v>
      </c>
      <c r="AW37" s="2" t="s">
        <v>808</v>
      </c>
      <c r="AX37">
        <v>0</v>
      </c>
      <c r="AY37" s="10" t="s">
        <v>1085</v>
      </c>
    </row>
    <row r="38" spans="1:51" ht="195" x14ac:dyDescent="0.25">
      <c r="A38" s="2" t="s">
        <v>809</v>
      </c>
      <c r="B38" s="2" t="s">
        <v>73</v>
      </c>
      <c r="C38" s="2" t="s">
        <v>405</v>
      </c>
      <c r="D38" s="3" t="s">
        <v>810</v>
      </c>
      <c r="E38" s="2" t="s">
        <v>53</v>
      </c>
      <c r="F38" s="2" t="s">
        <v>53</v>
      </c>
      <c r="G38" s="2" t="s">
        <v>407</v>
      </c>
      <c r="H38" s="2" t="s">
        <v>811</v>
      </c>
      <c r="I38" s="2" t="s">
        <v>53</v>
      </c>
      <c r="J38" s="2" t="s">
        <v>812</v>
      </c>
      <c r="K38" s="2" t="s">
        <v>53</v>
      </c>
      <c r="L38" s="2" t="s">
        <v>410</v>
      </c>
      <c r="M38" s="2" t="s">
        <v>80</v>
      </c>
      <c r="N38" s="2" t="s">
        <v>411</v>
      </c>
      <c r="O38" s="2" t="s">
        <v>813</v>
      </c>
      <c r="P38" s="3" t="s">
        <v>814</v>
      </c>
      <c r="Q38" s="3" t="s">
        <v>815</v>
      </c>
      <c r="R38" s="4">
        <v>15</v>
      </c>
      <c r="S38" s="2" t="s">
        <v>816</v>
      </c>
      <c r="T38" s="2" t="s">
        <v>64</v>
      </c>
      <c r="U38" s="2" t="s">
        <v>416</v>
      </c>
      <c r="V38" s="5" t="b">
        <v>0</v>
      </c>
      <c r="W38" s="2" t="s">
        <v>417</v>
      </c>
      <c r="X38" s="5" t="b">
        <v>0</v>
      </c>
      <c r="Y38" s="2" t="s">
        <v>53</v>
      </c>
      <c r="Z38" s="2" t="s">
        <v>418</v>
      </c>
      <c r="AA38" s="2" t="s">
        <v>419</v>
      </c>
      <c r="AB38" s="5" t="b">
        <v>0</v>
      </c>
      <c r="AC38" s="5" t="b">
        <v>0</v>
      </c>
      <c r="AD38" s="2" t="s">
        <v>420</v>
      </c>
      <c r="AE38" s="2" t="s">
        <v>53</v>
      </c>
      <c r="AF38" s="2" t="s">
        <v>53</v>
      </c>
      <c r="AG38" s="2" t="s">
        <v>90</v>
      </c>
      <c r="AH38" s="6">
        <v>45932.456064814804</v>
      </c>
      <c r="AI38" s="5" t="b">
        <v>0</v>
      </c>
      <c r="AJ38" s="2" t="s">
        <v>817</v>
      </c>
      <c r="AL38" s="2" t="s">
        <v>53</v>
      </c>
      <c r="AM38" s="2" t="s">
        <v>53</v>
      </c>
      <c r="AO38" s="2" t="s">
        <v>53</v>
      </c>
      <c r="AP38" s="2" t="s">
        <v>64</v>
      </c>
      <c r="AQ38" s="2" t="s">
        <v>818</v>
      </c>
      <c r="AR38" s="2" t="s">
        <v>53</v>
      </c>
      <c r="AS38" s="2" t="s">
        <v>53</v>
      </c>
      <c r="AT38" s="4">
        <v>1</v>
      </c>
      <c r="AU38" s="2" t="s">
        <v>819</v>
      </c>
      <c r="AV38" s="2" t="s">
        <v>820</v>
      </c>
      <c r="AW38" s="2" t="s">
        <v>821</v>
      </c>
      <c r="AX38">
        <v>1</v>
      </c>
      <c r="AY38" s="10" t="s">
        <v>1067</v>
      </c>
    </row>
    <row r="39" spans="1:51" ht="60" x14ac:dyDescent="0.25">
      <c r="A39" s="2" t="s">
        <v>822</v>
      </c>
      <c r="B39" s="2" t="s">
        <v>324</v>
      </c>
      <c r="C39" s="2" t="s">
        <v>823</v>
      </c>
      <c r="D39" s="3" t="s">
        <v>824</v>
      </c>
      <c r="E39" s="2" t="s">
        <v>53</v>
      </c>
      <c r="F39" s="2" t="s">
        <v>241</v>
      </c>
      <c r="G39" s="2" t="s">
        <v>242</v>
      </c>
      <c r="H39" s="2" t="s">
        <v>825</v>
      </c>
      <c r="I39" s="2" t="s">
        <v>53</v>
      </c>
      <c r="J39" s="2" t="s">
        <v>826</v>
      </c>
      <c r="K39" s="2" t="s">
        <v>53</v>
      </c>
      <c r="L39" s="2" t="s">
        <v>827</v>
      </c>
      <c r="M39" s="2" t="s">
        <v>246</v>
      </c>
      <c r="N39" s="2" t="s">
        <v>828</v>
      </c>
      <c r="O39" s="2" t="s">
        <v>53</v>
      </c>
      <c r="P39" s="3" t="s">
        <v>331</v>
      </c>
      <c r="Q39" s="3" t="s">
        <v>249</v>
      </c>
      <c r="R39" s="4">
        <v>1</v>
      </c>
      <c r="S39" s="2" t="s">
        <v>829</v>
      </c>
      <c r="T39" s="2" t="s">
        <v>84</v>
      </c>
      <c r="U39" s="2" t="s">
        <v>186</v>
      </c>
      <c r="V39" s="5" t="b">
        <v>0</v>
      </c>
      <c r="W39" s="2" t="s">
        <v>252</v>
      </c>
      <c r="X39" s="5" t="b">
        <v>0</v>
      </c>
      <c r="Y39" s="2" t="s">
        <v>53</v>
      </c>
      <c r="Z39" s="2" t="s">
        <v>53</v>
      </c>
      <c r="AA39" s="2" t="s">
        <v>830</v>
      </c>
      <c r="AB39" s="5" t="b">
        <v>1</v>
      </c>
      <c r="AC39" s="5" t="b">
        <v>0</v>
      </c>
      <c r="AD39" s="2" t="s">
        <v>189</v>
      </c>
      <c r="AE39" s="2" t="s">
        <v>53</v>
      </c>
      <c r="AF39" s="2" t="s">
        <v>53</v>
      </c>
      <c r="AG39" s="2" t="s">
        <v>90</v>
      </c>
      <c r="AH39" s="6">
        <v>45887.5942013889</v>
      </c>
      <c r="AI39" s="5" t="b">
        <v>0</v>
      </c>
      <c r="AJ39" s="2" t="s">
        <v>831</v>
      </c>
      <c r="AK39" s="4">
        <v>4</v>
      </c>
      <c r="AL39" s="2" t="s">
        <v>53</v>
      </c>
      <c r="AM39" s="2" t="s">
        <v>53</v>
      </c>
      <c r="AO39" s="2" t="s">
        <v>336</v>
      </c>
      <c r="AP39" s="2" t="s">
        <v>84</v>
      </c>
      <c r="AQ39" s="2" t="s">
        <v>53</v>
      </c>
      <c r="AR39" s="2" t="s">
        <v>53</v>
      </c>
      <c r="AS39" s="2" t="s">
        <v>53</v>
      </c>
      <c r="AT39" s="4">
        <v>1</v>
      </c>
      <c r="AU39" s="2" t="s">
        <v>338</v>
      </c>
      <c r="AV39" s="2" t="s">
        <v>339</v>
      </c>
      <c r="AW39" s="2" t="s">
        <v>340</v>
      </c>
      <c r="AX39">
        <v>0</v>
      </c>
      <c r="AY39" s="10" t="s">
        <v>1060</v>
      </c>
    </row>
    <row r="40" spans="1:51" ht="165" x14ac:dyDescent="0.25">
      <c r="A40" s="2" t="s">
        <v>832</v>
      </c>
      <c r="B40" s="2" t="s">
        <v>833</v>
      </c>
      <c r="C40" s="2" t="s">
        <v>834</v>
      </c>
      <c r="D40" s="3" t="s">
        <v>835</v>
      </c>
      <c r="E40" s="2" t="s">
        <v>53</v>
      </c>
      <c r="F40" s="2" t="s">
        <v>53</v>
      </c>
      <c r="G40" s="2" t="s">
        <v>836</v>
      </c>
      <c r="H40" s="2" t="s">
        <v>837</v>
      </c>
      <c r="I40" s="2" t="s">
        <v>53</v>
      </c>
      <c r="J40" s="2" t="s">
        <v>838</v>
      </c>
      <c r="K40" s="2" t="s">
        <v>53</v>
      </c>
      <c r="L40" s="2" t="s">
        <v>839</v>
      </c>
      <c r="M40" s="2" t="s">
        <v>840</v>
      </c>
      <c r="N40" s="2" t="s">
        <v>841</v>
      </c>
      <c r="O40" s="2" t="s">
        <v>53</v>
      </c>
      <c r="P40" s="3" t="s">
        <v>842</v>
      </c>
      <c r="Q40" s="3" t="s">
        <v>843</v>
      </c>
      <c r="R40" s="4">
        <v>5</v>
      </c>
      <c r="S40" s="2" t="s">
        <v>844</v>
      </c>
      <c r="T40" s="2" t="s">
        <v>135</v>
      </c>
      <c r="U40" s="2" t="s">
        <v>845</v>
      </c>
      <c r="V40" s="5" t="b">
        <v>0</v>
      </c>
      <c r="W40" s="2" t="s">
        <v>846</v>
      </c>
      <c r="X40" s="5" t="b">
        <v>1</v>
      </c>
      <c r="Y40" s="2" t="s">
        <v>53</v>
      </c>
      <c r="Z40" s="2" t="s">
        <v>53</v>
      </c>
      <c r="AA40" s="2" t="s">
        <v>847</v>
      </c>
      <c r="AB40" s="5" t="b">
        <v>1</v>
      </c>
      <c r="AC40" s="5" t="b">
        <v>0</v>
      </c>
      <c r="AD40" s="2" t="s">
        <v>848</v>
      </c>
      <c r="AE40" s="2" t="s">
        <v>53</v>
      </c>
      <c r="AF40" s="2" t="s">
        <v>53</v>
      </c>
      <c r="AG40" s="2" t="s">
        <v>32</v>
      </c>
      <c r="AH40" s="6">
        <v>46003.508460648103</v>
      </c>
      <c r="AI40" s="5" t="b">
        <v>0</v>
      </c>
      <c r="AJ40" s="2" t="s">
        <v>849</v>
      </c>
      <c r="AK40" s="4">
        <v>4</v>
      </c>
      <c r="AL40" s="2" t="s">
        <v>53</v>
      </c>
      <c r="AM40" s="2" t="s">
        <v>53</v>
      </c>
      <c r="AO40" s="2" t="s">
        <v>850</v>
      </c>
      <c r="AP40" s="2" t="s">
        <v>135</v>
      </c>
      <c r="AQ40" s="2" t="s">
        <v>53</v>
      </c>
      <c r="AR40" s="2" t="s">
        <v>53</v>
      </c>
      <c r="AS40" s="2" t="s">
        <v>53</v>
      </c>
      <c r="AT40" s="4">
        <v>1</v>
      </c>
      <c r="AU40" s="2" t="s">
        <v>851</v>
      </c>
      <c r="AV40" s="2" t="s">
        <v>852</v>
      </c>
      <c r="AW40" s="2" t="s">
        <v>853</v>
      </c>
      <c r="AX40">
        <v>0</v>
      </c>
      <c r="AY40" s="10" t="s">
        <v>1086</v>
      </c>
    </row>
    <row r="41" spans="1:51" ht="120" x14ac:dyDescent="0.25">
      <c r="A41" s="2" t="s">
        <v>854</v>
      </c>
      <c r="B41" s="2" t="s">
        <v>855</v>
      </c>
      <c r="C41" s="2" t="s">
        <v>856</v>
      </c>
      <c r="D41" s="3" t="s">
        <v>857</v>
      </c>
      <c r="E41" s="2" t="s">
        <v>53</v>
      </c>
      <c r="F41" s="2" t="s">
        <v>53</v>
      </c>
      <c r="G41" s="2" t="s">
        <v>309</v>
      </c>
      <c r="H41" s="2" t="s">
        <v>858</v>
      </c>
      <c r="I41" s="2" t="s">
        <v>859</v>
      </c>
      <c r="J41" s="2" t="s">
        <v>860</v>
      </c>
      <c r="K41" s="2" t="s">
        <v>53</v>
      </c>
      <c r="L41" s="2" t="s">
        <v>861</v>
      </c>
      <c r="M41" s="2" t="s">
        <v>203</v>
      </c>
      <c r="N41" s="2" t="s">
        <v>862</v>
      </c>
      <c r="O41" s="2" t="s">
        <v>53</v>
      </c>
      <c r="P41" s="3" t="s">
        <v>608</v>
      </c>
      <c r="Q41" s="3" t="s">
        <v>863</v>
      </c>
      <c r="R41" s="4">
        <v>15</v>
      </c>
      <c r="S41" s="2" t="s">
        <v>864</v>
      </c>
      <c r="T41" s="2" t="s">
        <v>64</v>
      </c>
      <c r="U41" s="2" t="s">
        <v>65</v>
      </c>
      <c r="V41" s="5" t="b">
        <v>0</v>
      </c>
      <c r="W41" s="2" t="s">
        <v>317</v>
      </c>
      <c r="X41" s="5" t="b">
        <v>0</v>
      </c>
      <c r="Y41" s="2" t="s">
        <v>53</v>
      </c>
      <c r="Z41" s="2" t="s">
        <v>53</v>
      </c>
      <c r="AA41" s="2" t="s">
        <v>53</v>
      </c>
      <c r="AB41" s="5" t="b">
        <v>0</v>
      </c>
      <c r="AC41" s="5" t="b">
        <v>0</v>
      </c>
      <c r="AD41" s="2" t="s">
        <v>67</v>
      </c>
      <c r="AE41" s="2" t="s">
        <v>53</v>
      </c>
      <c r="AF41" s="2" t="s">
        <v>53</v>
      </c>
      <c r="AG41" s="2" t="s">
        <v>32</v>
      </c>
      <c r="AH41" s="6">
        <v>45917.690729166701</v>
      </c>
      <c r="AI41" s="5" t="b">
        <v>0</v>
      </c>
      <c r="AJ41" s="2" t="s">
        <v>865</v>
      </c>
      <c r="AL41" s="2" t="s">
        <v>53</v>
      </c>
      <c r="AM41" s="2" t="s">
        <v>53</v>
      </c>
      <c r="AO41" s="2" t="s">
        <v>53</v>
      </c>
      <c r="AP41" s="2" t="s">
        <v>64</v>
      </c>
      <c r="AQ41" s="2" t="s">
        <v>866</v>
      </c>
      <c r="AR41" s="2" t="s">
        <v>53</v>
      </c>
      <c r="AS41" s="2" t="s">
        <v>53</v>
      </c>
      <c r="AT41" s="4">
        <v>1</v>
      </c>
      <c r="AU41" s="2" t="s">
        <v>867</v>
      </c>
      <c r="AV41" s="2" t="s">
        <v>868</v>
      </c>
      <c r="AW41" s="2" t="s">
        <v>869</v>
      </c>
      <c r="AX41">
        <v>0</v>
      </c>
      <c r="AY41" s="10" t="s">
        <v>1087</v>
      </c>
    </row>
    <row r="42" spans="1:51" ht="345" x14ac:dyDescent="0.25">
      <c r="A42" s="2" t="s">
        <v>870</v>
      </c>
      <c r="B42" s="2" t="s">
        <v>871</v>
      </c>
      <c r="C42" s="2" t="s">
        <v>872</v>
      </c>
      <c r="D42" s="3" t="s">
        <v>873</v>
      </c>
      <c r="E42" s="2" t="s">
        <v>53</v>
      </c>
      <c r="F42" s="2" t="s">
        <v>53</v>
      </c>
      <c r="G42" s="2" t="s">
        <v>874</v>
      </c>
      <c r="H42" s="2" t="s">
        <v>875</v>
      </c>
      <c r="I42" s="2" t="s">
        <v>53</v>
      </c>
      <c r="J42" s="2" t="s">
        <v>876</v>
      </c>
      <c r="K42" s="2" t="s">
        <v>53</v>
      </c>
      <c r="L42" s="2" t="s">
        <v>877</v>
      </c>
      <c r="M42" s="2" t="s">
        <v>129</v>
      </c>
      <c r="N42" s="2" t="s">
        <v>878</v>
      </c>
      <c r="O42" s="2" t="s">
        <v>53</v>
      </c>
      <c r="P42" s="3" t="s">
        <v>369</v>
      </c>
      <c r="Q42" s="3" t="s">
        <v>370</v>
      </c>
      <c r="R42" s="4">
        <v>19</v>
      </c>
      <c r="S42" s="2" t="s">
        <v>53</v>
      </c>
      <c r="T42" s="2" t="s">
        <v>84</v>
      </c>
      <c r="U42" s="2" t="s">
        <v>65</v>
      </c>
      <c r="V42" s="5" t="b">
        <v>0</v>
      </c>
      <c r="W42" s="2" t="s">
        <v>879</v>
      </c>
      <c r="X42" s="5" t="b">
        <v>1</v>
      </c>
      <c r="Y42" s="2" t="s">
        <v>53</v>
      </c>
      <c r="Z42" s="2" t="s">
        <v>53</v>
      </c>
      <c r="AA42" s="2" t="s">
        <v>53</v>
      </c>
      <c r="AB42" s="5" t="b">
        <v>0</v>
      </c>
      <c r="AC42" s="5" t="b">
        <v>0</v>
      </c>
      <c r="AD42" s="2" t="s">
        <v>67</v>
      </c>
      <c r="AE42" s="2" t="s">
        <v>53</v>
      </c>
      <c r="AF42" s="2" t="s">
        <v>53</v>
      </c>
      <c r="AG42" s="2" t="s">
        <v>880</v>
      </c>
      <c r="AH42" s="6">
        <v>45959.669270833299</v>
      </c>
      <c r="AI42" s="5" t="b">
        <v>0</v>
      </c>
      <c r="AJ42" s="2" t="s">
        <v>881</v>
      </c>
      <c r="AL42" s="2" t="s">
        <v>53</v>
      </c>
      <c r="AM42" s="2" t="s">
        <v>53</v>
      </c>
      <c r="AO42" s="2" t="s">
        <v>53</v>
      </c>
      <c r="AP42" s="2" t="s">
        <v>84</v>
      </c>
      <c r="AQ42" s="2" t="s">
        <v>882</v>
      </c>
      <c r="AR42" s="2" t="s">
        <v>53</v>
      </c>
      <c r="AS42" s="2" t="s">
        <v>53</v>
      </c>
      <c r="AT42" s="4">
        <v>1</v>
      </c>
      <c r="AU42" s="2" t="s">
        <v>883</v>
      </c>
      <c r="AV42" s="2" t="s">
        <v>884</v>
      </c>
      <c r="AW42" s="2" t="s">
        <v>885</v>
      </c>
      <c r="AX42">
        <v>0</v>
      </c>
      <c r="AY42" s="10" t="s">
        <v>1088</v>
      </c>
    </row>
    <row r="43" spans="1:51" ht="60" x14ac:dyDescent="0.25">
      <c r="A43" s="2" t="s">
        <v>886</v>
      </c>
      <c r="B43" s="2" t="s">
        <v>887</v>
      </c>
      <c r="C43" s="2" t="s">
        <v>888</v>
      </c>
      <c r="D43" s="3" t="s">
        <v>889</v>
      </c>
      <c r="E43" s="2" t="s">
        <v>53</v>
      </c>
      <c r="F43" s="2" t="s">
        <v>241</v>
      </c>
      <c r="G43" s="2" t="s">
        <v>242</v>
      </c>
      <c r="H43" s="2" t="s">
        <v>890</v>
      </c>
      <c r="I43" s="2" t="s">
        <v>53</v>
      </c>
      <c r="J43" s="2" t="s">
        <v>891</v>
      </c>
      <c r="K43" s="2" t="s">
        <v>53</v>
      </c>
      <c r="L43" s="2" t="s">
        <v>892</v>
      </c>
      <c r="M43" s="2" t="s">
        <v>246</v>
      </c>
      <c r="N43" s="2" t="s">
        <v>893</v>
      </c>
      <c r="O43" s="2" t="s">
        <v>53</v>
      </c>
      <c r="P43" s="3" t="s">
        <v>331</v>
      </c>
      <c r="Q43" s="3" t="s">
        <v>249</v>
      </c>
      <c r="R43" s="4">
        <v>1</v>
      </c>
      <c r="S43" s="2" t="s">
        <v>894</v>
      </c>
      <c r="T43" s="2" t="s">
        <v>64</v>
      </c>
      <c r="U43" s="2" t="s">
        <v>186</v>
      </c>
      <c r="V43" s="5" t="b">
        <v>0</v>
      </c>
      <c r="W43" s="2" t="s">
        <v>252</v>
      </c>
      <c r="X43" s="5" t="b">
        <v>0</v>
      </c>
      <c r="Y43" s="2" t="s">
        <v>53</v>
      </c>
      <c r="Z43" s="2" t="s">
        <v>53</v>
      </c>
      <c r="AA43" s="2" t="s">
        <v>895</v>
      </c>
      <c r="AB43" s="5" t="b">
        <v>1</v>
      </c>
      <c r="AC43" s="5" t="b">
        <v>0</v>
      </c>
      <c r="AD43" s="2" t="s">
        <v>189</v>
      </c>
      <c r="AE43" s="2" t="s">
        <v>53</v>
      </c>
      <c r="AF43" s="2" t="s">
        <v>53</v>
      </c>
      <c r="AG43" s="2" t="s">
        <v>90</v>
      </c>
      <c r="AH43" s="6">
        <v>45919.585474537002</v>
      </c>
      <c r="AI43" s="5" t="b">
        <v>0</v>
      </c>
      <c r="AJ43" s="2" t="s">
        <v>896</v>
      </c>
      <c r="AK43" s="4">
        <v>4</v>
      </c>
      <c r="AL43" s="2" t="s">
        <v>53</v>
      </c>
      <c r="AM43" s="2" t="s">
        <v>53</v>
      </c>
      <c r="AO43" s="2" t="s">
        <v>897</v>
      </c>
      <c r="AP43" s="2" t="s">
        <v>64</v>
      </c>
      <c r="AQ43" s="2" t="s">
        <v>53</v>
      </c>
      <c r="AR43" s="2" t="s">
        <v>53</v>
      </c>
      <c r="AS43" s="2" t="s">
        <v>53</v>
      </c>
      <c r="AT43" s="4">
        <v>1</v>
      </c>
      <c r="AU43" s="2" t="s">
        <v>898</v>
      </c>
      <c r="AV43" s="2" t="s">
        <v>339</v>
      </c>
      <c r="AW43" s="2" t="s">
        <v>899</v>
      </c>
      <c r="AX43">
        <v>0</v>
      </c>
      <c r="AY43" s="10" t="s">
        <v>1060</v>
      </c>
    </row>
    <row r="44" spans="1:51" ht="75" x14ac:dyDescent="0.25">
      <c r="A44" s="2" t="s">
        <v>900</v>
      </c>
      <c r="B44" s="2" t="s">
        <v>554</v>
      </c>
      <c r="C44" s="2" t="s">
        <v>901</v>
      </c>
      <c r="D44" s="3" t="s">
        <v>902</v>
      </c>
      <c r="E44" s="2" t="s">
        <v>53</v>
      </c>
      <c r="F44" s="2" t="s">
        <v>53</v>
      </c>
      <c r="G44" s="2" t="s">
        <v>603</v>
      </c>
      <c r="H44" s="2" t="s">
        <v>903</v>
      </c>
      <c r="I44" s="2" t="s">
        <v>904</v>
      </c>
      <c r="J44" s="2" t="s">
        <v>905</v>
      </c>
      <c r="K44" s="2" t="s">
        <v>53</v>
      </c>
      <c r="L44" s="2" t="s">
        <v>906</v>
      </c>
      <c r="M44" s="2" t="s">
        <v>759</v>
      </c>
      <c r="N44" s="2" t="s">
        <v>907</v>
      </c>
      <c r="O44" s="2" t="s">
        <v>908</v>
      </c>
      <c r="P44" s="3" t="s">
        <v>435</v>
      </c>
      <c r="Q44" s="3" t="s">
        <v>529</v>
      </c>
      <c r="R44" s="4">
        <v>31</v>
      </c>
      <c r="S44" s="2" t="s">
        <v>909</v>
      </c>
      <c r="T44" s="2" t="s">
        <v>84</v>
      </c>
      <c r="U44" s="2" t="s">
        <v>610</v>
      </c>
      <c r="V44" s="5" t="b">
        <v>0</v>
      </c>
      <c r="W44" s="2" t="s">
        <v>611</v>
      </c>
      <c r="X44" s="5" t="b">
        <v>0</v>
      </c>
      <c r="Y44" s="2" t="s">
        <v>910</v>
      </c>
      <c r="Z44" s="2" t="s">
        <v>911</v>
      </c>
      <c r="AA44" s="2" t="s">
        <v>912</v>
      </c>
      <c r="AB44" s="5" t="b">
        <v>0</v>
      </c>
      <c r="AC44" s="5" t="b">
        <v>0</v>
      </c>
      <c r="AD44" s="2" t="s">
        <v>615</v>
      </c>
      <c r="AE44" s="2" t="s">
        <v>53</v>
      </c>
      <c r="AF44" s="2" t="s">
        <v>53</v>
      </c>
      <c r="AG44" s="2" t="s">
        <v>90</v>
      </c>
      <c r="AH44" s="6">
        <v>45856.702152777798</v>
      </c>
      <c r="AI44" s="5" t="b">
        <v>0</v>
      </c>
      <c r="AJ44" s="2" t="s">
        <v>913</v>
      </c>
      <c r="AL44" s="2" t="s">
        <v>53</v>
      </c>
      <c r="AM44" s="2" t="s">
        <v>53</v>
      </c>
      <c r="AO44" s="2" t="s">
        <v>53</v>
      </c>
      <c r="AP44" s="2" t="s">
        <v>84</v>
      </c>
      <c r="AQ44" s="2" t="s">
        <v>914</v>
      </c>
      <c r="AR44" s="2" t="s">
        <v>915</v>
      </c>
      <c r="AS44" s="2" t="s">
        <v>53</v>
      </c>
      <c r="AT44" s="4">
        <v>2</v>
      </c>
      <c r="AU44" s="2" t="s">
        <v>916</v>
      </c>
      <c r="AV44" s="2" t="s">
        <v>339</v>
      </c>
      <c r="AW44" s="2" t="s">
        <v>917</v>
      </c>
      <c r="AX44">
        <v>1</v>
      </c>
      <c r="AY44" s="10" t="s">
        <v>1089</v>
      </c>
    </row>
    <row r="45" spans="1:51" ht="105" x14ac:dyDescent="0.25">
      <c r="A45" s="2" t="s">
        <v>918</v>
      </c>
      <c r="B45" s="2" t="s">
        <v>919</v>
      </c>
      <c r="C45" s="2" t="s">
        <v>920</v>
      </c>
      <c r="D45" s="3" t="s">
        <v>921</v>
      </c>
      <c r="E45" s="2" t="s">
        <v>53</v>
      </c>
      <c r="F45" s="2" t="s">
        <v>53</v>
      </c>
      <c r="G45" s="2" t="s">
        <v>922</v>
      </c>
      <c r="H45" s="2" t="s">
        <v>923</v>
      </c>
      <c r="I45" s="2" t="s">
        <v>924</v>
      </c>
      <c r="J45" s="2" t="s">
        <v>925</v>
      </c>
      <c r="K45" s="2" t="s">
        <v>926</v>
      </c>
      <c r="L45" s="2" t="s">
        <v>927</v>
      </c>
      <c r="M45" s="2" t="s">
        <v>267</v>
      </c>
      <c r="N45" s="2" t="s">
        <v>928</v>
      </c>
      <c r="O45" s="2" t="s">
        <v>929</v>
      </c>
      <c r="P45" s="3" t="s">
        <v>814</v>
      </c>
      <c r="Q45" s="3" t="s">
        <v>815</v>
      </c>
      <c r="R45" s="4">
        <v>8</v>
      </c>
      <c r="S45" s="2" t="s">
        <v>930</v>
      </c>
      <c r="T45" s="2" t="s">
        <v>84</v>
      </c>
      <c r="U45" s="2" t="s">
        <v>372</v>
      </c>
      <c r="V45" s="5" t="b">
        <v>0</v>
      </c>
      <c r="W45" s="2" t="s">
        <v>931</v>
      </c>
      <c r="X45" s="5" t="b">
        <v>0</v>
      </c>
      <c r="Y45" s="2" t="s">
        <v>53</v>
      </c>
      <c r="Z45" s="2" t="s">
        <v>932</v>
      </c>
      <c r="AA45" s="2" t="s">
        <v>53</v>
      </c>
      <c r="AB45" s="5" t="b">
        <v>0</v>
      </c>
      <c r="AC45" s="5" t="b">
        <v>0</v>
      </c>
      <c r="AD45" s="2" t="s">
        <v>375</v>
      </c>
      <c r="AE45" s="2" t="s">
        <v>53</v>
      </c>
      <c r="AF45" s="2" t="s">
        <v>933</v>
      </c>
      <c r="AG45" s="2" t="s">
        <v>90</v>
      </c>
      <c r="AH45" s="6">
        <v>45992.4610763889</v>
      </c>
      <c r="AI45" s="5" t="b">
        <v>0</v>
      </c>
      <c r="AJ45" s="2" t="s">
        <v>934</v>
      </c>
      <c r="AL45" s="2" t="s">
        <v>53</v>
      </c>
      <c r="AM45" s="2" t="s">
        <v>53</v>
      </c>
      <c r="AO45" s="2" t="s">
        <v>53</v>
      </c>
      <c r="AP45" s="2" t="s">
        <v>84</v>
      </c>
      <c r="AQ45" s="2" t="s">
        <v>935</v>
      </c>
      <c r="AR45" s="2" t="s">
        <v>53</v>
      </c>
      <c r="AS45" s="2" t="s">
        <v>53</v>
      </c>
      <c r="AT45" s="4">
        <v>1</v>
      </c>
      <c r="AU45" s="2" t="s">
        <v>936</v>
      </c>
      <c r="AV45" s="2" t="s">
        <v>937</v>
      </c>
      <c r="AW45" s="2" t="s">
        <v>938</v>
      </c>
      <c r="AX45">
        <v>0</v>
      </c>
      <c r="AY45" s="10" t="s">
        <v>1090</v>
      </c>
    </row>
    <row r="46" spans="1:51" ht="285" x14ac:dyDescent="0.25">
      <c r="A46" s="2" t="s">
        <v>939</v>
      </c>
      <c r="B46" s="2" t="s">
        <v>940</v>
      </c>
      <c r="C46" s="2" t="s">
        <v>941</v>
      </c>
      <c r="D46" s="3" t="s">
        <v>942</v>
      </c>
      <c r="E46" s="2" t="s">
        <v>53</v>
      </c>
      <c r="F46" s="2" t="s">
        <v>53</v>
      </c>
      <c r="G46" s="2" t="s">
        <v>309</v>
      </c>
      <c r="H46" s="2" t="s">
        <v>943</v>
      </c>
      <c r="I46" s="2" t="s">
        <v>944</v>
      </c>
      <c r="J46" s="2" t="s">
        <v>945</v>
      </c>
      <c r="K46" s="2" t="s">
        <v>53</v>
      </c>
      <c r="L46" s="2" t="s">
        <v>946</v>
      </c>
      <c r="M46" s="2" t="s">
        <v>453</v>
      </c>
      <c r="N46" s="2" t="s">
        <v>947</v>
      </c>
      <c r="O46" s="2" t="s">
        <v>53</v>
      </c>
      <c r="P46" s="3" t="s">
        <v>948</v>
      </c>
      <c r="Q46" s="3" t="s">
        <v>949</v>
      </c>
      <c r="R46" s="4">
        <v>32</v>
      </c>
      <c r="S46" s="2" t="s">
        <v>950</v>
      </c>
      <c r="T46" s="2" t="s">
        <v>109</v>
      </c>
      <c r="U46" s="2" t="s">
        <v>65</v>
      </c>
      <c r="V46" s="5" t="b">
        <v>0</v>
      </c>
      <c r="W46" s="2" t="s">
        <v>317</v>
      </c>
      <c r="X46" s="5" t="b">
        <v>1</v>
      </c>
      <c r="Y46" s="2" t="s">
        <v>53</v>
      </c>
      <c r="Z46" s="2" t="s">
        <v>53</v>
      </c>
      <c r="AA46" s="2" t="s">
        <v>53</v>
      </c>
      <c r="AB46" s="5" t="b">
        <v>0</v>
      </c>
      <c r="AC46" s="5" t="b">
        <v>0</v>
      </c>
      <c r="AD46" s="2" t="s">
        <v>67</v>
      </c>
      <c r="AE46" s="2" t="s">
        <v>53</v>
      </c>
      <c r="AF46" s="2" t="s">
        <v>53</v>
      </c>
      <c r="AG46" s="2" t="s">
        <v>32</v>
      </c>
      <c r="AH46" s="6">
        <v>45672.501608796301</v>
      </c>
      <c r="AI46" s="5" t="b">
        <v>0</v>
      </c>
      <c r="AJ46" s="2" t="s">
        <v>951</v>
      </c>
      <c r="AL46" s="2" t="s">
        <v>53</v>
      </c>
      <c r="AM46" s="2" t="s">
        <v>53</v>
      </c>
      <c r="AO46" s="2" t="s">
        <v>53</v>
      </c>
      <c r="AP46" s="2" t="s">
        <v>109</v>
      </c>
      <c r="AQ46" s="2" t="s">
        <v>952</v>
      </c>
      <c r="AR46" s="2" t="s">
        <v>53</v>
      </c>
      <c r="AS46" s="2" t="s">
        <v>779</v>
      </c>
      <c r="AT46" s="4">
        <v>2</v>
      </c>
      <c r="AU46" s="2" t="s">
        <v>953</v>
      </c>
      <c r="AV46" s="2" t="s">
        <v>954</v>
      </c>
      <c r="AW46" s="2" t="s">
        <v>955</v>
      </c>
      <c r="AX46">
        <v>0</v>
      </c>
      <c r="AY46" s="10" t="s">
        <v>1091</v>
      </c>
    </row>
    <row r="47" spans="1:51" ht="315" x14ac:dyDescent="0.25">
      <c r="A47" s="2" t="s">
        <v>956</v>
      </c>
      <c r="B47" s="2" t="s">
        <v>342</v>
      </c>
      <c r="C47" s="2" t="s">
        <v>343</v>
      </c>
      <c r="D47" s="3" t="s">
        <v>957</v>
      </c>
      <c r="E47" s="2" t="s">
        <v>53</v>
      </c>
      <c r="F47" s="2" t="s">
        <v>958</v>
      </c>
      <c r="G47" s="2" t="s">
        <v>959</v>
      </c>
      <c r="H47" s="2" t="s">
        <v>960</v>
      </c>
      <c r="I47" s="2" t="s">
        <v>53</v>
      </c>
      <c r="J47" s="2" t="s">
        <v>961</v>
      </c>
      <c r="K47" s="2" t="s">
        <v>53</v>
      </c>
      <c r="L47" s="2" t="s">
        <v>962</v>
      </c>
      <c r="M47" s="2" t="s">
        <v>349</v>
      </c>
      <c r="N47" s="2" t="s">
        <v>963</v>
      </c>
      <c r="O47" s="2" t="s">
        <v>53</v>
      </c>
      <c r="P47" s="3" t="s">
        <v>314</v>
      </c>
      <c r="Q47" s="3" t="s">
        <v>964</v>
      </c>
      <c r="S47" s="2" t="s">
        <v>965</v>
      </c>
      <c r="T47" s="2" t="s">
        <v>135</v>
      </c>
      <c r="U47" s="2" t="s">
        <v>186</v>
      </c>
      <c r="V47" s="5" t="b">
        <v>0</v>
      </c>
      <c r="W47" s="2" t="s">
        <v>966</v>
      </c>
      <c r="X47" s="5" t="b">
        <v>1</v>
      </c>
      <c r="Y47" s="2" t="s">
        <v>53</v>
      </c>
      <c r="Z47" s="2" t="s">
        <v>53</v>
      </c>
      <c r="AA47" s="2" t="s">
        <v>967</v>
      </c>
      <c r="AB47" s="5" t="b">
        <v>0</v>
      </c>
      <c r="AC47" s="5" t="b">
        <v>0</v>
      </c>
      <c r="AD47" s="2" t="s">
        <v>189</v>
      </c>
      <c r="AE47" s="2" t="s">
        <v>53</v>
      </c>
      <c r="AF47" s="2" t="s">
        <v>968</v>
      </c>
      <c r="AG47" s="2" t="s">
        <v>90</v>
      </c>
      <c r="AH47" s="6">
        <v>45889.428217592598</v>
      </c>
      <c r="AI47" s="5" t="b">
        <v>0</v>
      </c>
      <c r="AJ47" s="2" t="s">
        <v>356</v>
      </c>
      <c r="AL47" s="2" t="s">
        <v>53</v>
      </c>
      <c r="AM47" s="2" t="s">
        <v>53</v>
      </c>
      <c r="AO47" s="2" t="s">
        <v>53</v>
      </c>
      <c r="AP47" s="2" t="s">
        <v>135</v>
      </c>
      <c r="AQ47" s="2" t="s">
        <v>53</v>
      </c>
      <c r="AR47" s="2" t="s">
        <v>53</v>
      </c>
      <c r="AS47" s="2" t="s">
        <v>53</v>
      </c>
      <c r="AT47" s="4">
        <v>2</v>
      </c>
      <c r="AU47" s="2" t="s">
        <v>969</v>
      </c>
      <c r="AV47" s="2" t="s">
        <v>970</v>
      </c>
      <c r="AW47" s="2" t="s">
        <v>971</v>
      </c>
      <c r="AX47">
        <v>1</v>
      </c>
      <c r="AY47" s="10" t="s">
        <v>1092</v>
      </c>
    </row>
    <row r="48" spans="1:51" ht="300" x14ac:dyDescent="0.25">
      <c r="A48" s="2" t="s">
        <v>972</v>
      </c>
      <c r="B48" s="2" t="s">
        <v>973</v>
      </c>
      <c r="C48" s="2" t="s">
        <v>974</v>
      </c>
      <c r="D48" s="3" t="s">
        <v>975</v>
      </c>
      <c r="E48" s="2" t="s">
        <v>53</v>
      </c>
      <c r="F48" s="2" t="s">
        <v>53</v>
      </c>
      <c r="G48" s="2" t="s">
        <v>218</v>
      </c>
      <c r="H48" s="2" t="s">
        <v>976</v>
      </c>
      <c r="I48" s="2" t="s">
        <v>977</v>
      </c>
      <c r="J48" s="2" t="s">
        <v>978</v>
      </c>
      <c r="K48" s="2" t="s">
        <v>53</v>
      </c>
      <c r="L48" s="2" t="s">
        <v>979</v>
      </c>
      <c r="M48" s="2" t="s">
        <v>349</v>
      </c>
      <c r="N48" s="2" t="s">
        <v>980</v>
      </c>
      <c r="O48" s="2" t="s">
        <v>981</v>
      </c>
      <c r="P48" s="3" t="s">
        <v>982</v>
      </c>
      <c r="Q48" s="3" t="s">
        <v>983</v>
      </c>
      <c r="R48" s="4">
        <v>34</v>
      </c>
      <c r="S48" s="2" t="s">
        <v>53</v>
      </c>
      <c r="T48" s="2" t="s">
        <v>109</v>
      </c>
      <c r="U48" s="2" t="s">
        <v>372</v>
      </c>
      <c r="V48" s="5" t="b">
        <v>0</v>
      </c>
      <c r="W48" s="2" t="s">
        <v>984</v>
      </c>
      <c r="X48" s="5" t="b">
        <v>1</v>
      </c>
      <c r="Y48" s="2" t="s">
        <v>53</v>
      </c>
      <c r="Z48" s="2" t="s">
        <v>985</v>
      </c>
      <c r="AA48" s="2" t="s">
        <v>986</v>
      </c>
      <c r="AB48" s="5" t="b">
        <v>0</v>
      </c>
      <c r="AC48" s="5" t="b">
        <v>0</v>
      </c>
      <c r="AD48" s="2" t="s">
        <v>375</v>
      </c>
      <c r="AE48" s="2" t="s">
        <v>53</v>
      </c>
      <c r="AF48" s="2" t="s">
        <v>53</v>
      </c>
      <c r="AG48" s="2" t="s">
        <v>90</v>
      </c>
      <c r="AH48" s="6">
        <v>45734.69</v>
      </c>
      <c r="AI48" s="5" t="b">
        <v>0</v>
      </c>
      <c r="AJ48" s="2" t="s">
        <v>987</v>
      </c>
      <c r="AL48" s="2" t="s">
        <v>53</v>
      </c>
      <c r="AM48" s="2" t="s">
        <v>53</v>
      </c>
      <c r="AO48" s="2" t="s">
        <v>53</v>
      </c>
      <c r="AP48" s="2" t="s">
        <v>109</v>
      </c>
      <c r="AQ48" s="2" t="s">
        <v>988</v>
      </c>
      <c r="AR48" s="2" t="s">
        <v>53</v>
      </c>
      <c r="AS48" s="2" t="s">
        <v>53</v>
      </c>
      <c r="AT48" s="4">
        <v>1</v>
      </c>
      <c r="AU48" s="2" t="s">
        <v>989</v>
      </c>
      <c r="AV48" s="2" t="s">
        <v>990</v>
      </c>
      <c r="AW48" s="2" t="s">
        <v>991</v>
      </c>
      <c r="AX48">
        <v>0</v>
      </c>
      <c r="AY48" s="10" t="s">
        <v>1065</v>
      </c>
    </row>
    <row r="49" spans="1:51" ht="330" x14ac:dyDescent="0.25">
      <c r="A49" s="2" t="s">
        <v>992</v>
      </c>
      <c r="B49" s="2" t="s">
        <v>993</v>
      </c>
      <c r="C49" s="2" t="s">
        <v>994</v>
      </c>
      <c r="D49" s="3" t="s">
        <v>995</v>
      </c>
      <c r="E49" s="2" t="s">
        <v>53</v>
      </c>
      <c r="F49" s="2" t="s">
        <v>53</v>
      </c>
      <c r="G49" s="2" t="s">
        <v>996</v>
      </c>
      <c r="H49" s="2" t="s">
        <v>997</v>
      </c>
      <c r="I49" s="2" t="s">
        <v>998</v>
      </c>
      <c r="J49" s="2" t="s">
        <v>999</v>
      </c>
      <c r="K49" s="2" t="s">
        <v>53</v>
      </c>
      <c r="L49" s="2" t="s">
        <v>1000</v>
      </c>
      <c r="M49" s="2" t="s">
        <v>715</v>
      </c>
      <c r="N49" s="2" t="s">
        <v>1001</v>
      </c>
      <c r="O49" s="2" t="s">
        <v>53</v>
      </c>
      <c r="P49" s="3" t="s">
        <v>435</v>
      </c>
      <c r="Q49" s="3" t="s">
        <v>546</v>
      </c>
      <c r="R49" s="4">
        <v>7</v>
      </c>
      <c r="S49" s="2" t="s">
        <v>950</v>
      </c>
      <c r="T49" s="2" t="s">
        <v>109</v>
      </c>
      <c r="U49" s="2" t="s">
        <v>65</v>
      </c>
      <c r="V49" s="5" t="b">
        <v>0</v>
      </c>
      <c r="W49" s="2" t="s">
        <v>1002</v>
      </c>
      <c r="X49" s="5" t="b">
        <v>0</v>
      </c>
      <c r="Y49" s="2" t="s">
        <v>53</v>
      </c>
      <c r="Z49" s="2" t="s">
        <v>53</v>
      </c>
      <c r="AA49" s="2" t="s">
        <v>53</v>
      </c>
      <c r="AB49" s="5" t="b">
        <v>0</v>
      </c>
      <c r="AC49" s="5" t="b">
        <v>0</v>
      </c>
      <c r="AD49" s="2" t="s">
        <v>67</v>
      </c>
      <c r="AE49" s="2" t="s">
        <v>53</v>
      </c>
      <c r="AF49" s="2" t="s">
        <v>53</v>
      </c>
      <c r="AG49" s="2" t="s">
        <v>32</v>
      </c>
      <c r="AH49" s="6">
        <v>45714.636469907397</v>
      </c>
      <c r="AI49" s="5" t="b">
        <v>0</v>
      </c>
      <c r="AJ49" s="2" t="s">
        <v>1003</v>
      </c>
      <c r="AL49" s="2" t="s">
        <v>53</v>
      </c>
      <c r="AM49" s="2" t="s">
        <v>53</v>
      </c>
      <c r="AO49" s="2" t="s">
        <v>53</v>
      </c>
      <c r="AP49" s="2" t="s">
        <v>109</v>
      </c>
      <c r="AQ49" s="2" t="s">
        <v>1004</v>
      </c>
      <c r="AR49" s="2" t="s">
        <v>53</v>
      </c>
      <c r="AS49" s="2" t="s">
        <v>53</v>
      </c>
      <c r="AT49" s="4">
        <v>2</v>
      </c>
      <c r="AU49" s="2" t="s">
        <v>1005</v>
      </c>
      <c r="AV49" s="2" t="s">
        <v>1006</v>
      </c>
      <c r="AW49" s="2" t="s">
        <v>1007</v>
      </c>
      <c r="AX49">
        <v>1</v>
      </c>
      <c r="AY49" s="10" t="s">
        <v>1093</v>
      </c>
    </row>
    <row r="50" spans="1:51" ht="60" x14ac:dyDescent="0.25">
      <c r="A50" s="2" t="s">
        <v>1008</v>
      </c>
      <c r="B50" s="2" t="s">
        <v>1009</v>
      </c>
      <c r="C50" s="2" t="s">
        <v>787</v>
      </c>
      <c r="D50" s="3" t="s">
        <v>1010</v>
      </c>
      <c r="E50" s="2" t="s">
        <v>53</v>
      </c>
      <c r="F50" s="2" t="s">
        <v>53</v>
      </c>
      <c r="G50" s="2" t="s">
        <v>218</v>
      </c>
      <c r="H50" s="2" t="s">
        <v>789</v>
      </c>
      <c r="I50" s="2" t="s">
        <v>53</v>
      </c>
      <c r="J50" s="2" t="s">
        <v>1011</v>
      </c>
      <c r="K50" s="2" t="s">
        <v>53</v>
      </c>
      <c r="L50" s="2" t="s">
        <v>1012</v>
      </c>
      <c r="M50" s="2" t="s">
        <v>1013</v>
      </c>
      <c r="N50" s="2" t="s">
        <v>1014</v>
      </c>
      <c r="O50" s="2" t="s">
        <v>794</v>
      </c>
      <c r="P50" s="3" t="s">
        <v>1015</v>
      </c>
      <c r="Q50" s="3" t="s">
        <v>1016</v>
      </c>
      <c r="R50" s="4">
        <v>6</v>
      </c>
      <c r="S50" s="2" t="s">
        <v>1017</v>
      </c>
      <c r="T50" s="2" t="s">
        <v>135</v>
      </c>
      <c r="U50" s="2" t="s">
        <v>798</v>
      </c>
      <c r="V50" s="5" t="b">
        <v>0</v>
      </c>
      <c r="W50" s="2" t="s">
        <v>228</v>
      </c>
      <c r="X50" s="5" t="b">
        <v>0</v>
      </c>
      <c r="Y50" s="2" t="s">
        <v>799</v>
      </c>
      <c r="Z50" s="2" t="s">
        <v>800</v>
      </c>
      <c r="AA50" s="2" t="s">
        <v>1018</v>
      </c>
      <c r="AB50" s="5" t="b">
        <v>0</v>
      </c>
      <c r="AC50" s="5" t="b">
        <v>0</v>
      </c>
      <c r="AD50" s="2" t="s">
        <v>802</v>
      </c>
      <c r="AE50" s="2" t="s">
        <v>53</v>
      </c>
      <c r="AF50" s="2" t="s">
        <v>53</v>
      </c>
      <c r="AG50" s="2" t="s">
        <v>32</v>
      </c>
      <c r="AH50" s="6">
        <v>45708.424456018503</v>
      </c>
      <c r="AI50" s="5" t="b">
        <v>0</v>
      </c>
      <c r="AJ50" s="2" t="s">
        <v>1019</v>
      </c>
      <c r="AL50" s="2" t="s">
        <v>53</v>
      </c>
      <c r="AM50" s="2" t="s">
        <v>53</v>
      </c>
      <c r="AO50" s="2" t="s">
        <v>53</v>
      </c>
      <c r="AP50" s="2" t="s">
        <v>135</v>
      </c>
      <c r="AQ50" s="2" t="s">
        <v>1020</v>
      </c>
      <c r="AR50" s="2" t="s">
        <v>53</v>
      </c>
      <c r="AS50" s="2" t="s">
        <v>53</v>
      </c>
      <c r="AT50" s="4">
        <v>1</v>
      </c>
      <c r="AU50" s="2" t="s">
        <v>1021</v>
      </c>
      <c r="AV50" s="2" t="s">
        <v>1022</v>
      </c>
      <c r="AW50" s="2" t="s">
        <v>1023</v>
      </c>
      <c r="AX50">
        <v>0</v>
      </c>
      <c r="AY50" s="10" t="s">
        <v>1085</v>
      </c>
    </row>
    <row r="51" spans="1:51" ht="345" x14ac:dyDescent="0.25">
      <c r="A51" s="2" t="s">
        <v>1024</v>
      </c>
      <c r="B51" s="2" t="s">
        <v>1025</v>
      </c>
      <c r="C51" s="2" t="s">
        <v>1026</v>
      </c>
      <c r="D51" s="3" t="s">
        <v>1027</v>
      </c>
      <c r="E51" s="2" t="s">
        <v>53</v>
      </c>
      <c r="F51" s="2" t="s">
        <v>53</v>
      </c>
      <c r="G51" s="2" t="s">
        <v>1028</v>
      </c>
      <c r="H51" s="2" t="s">
        <v>1029</v>
      </c>
      <c r="I51" s="2" t="s">
        <v>53</v>
      </c>
      <c r="J51" s="2" t="s">
        <v>1030</v>
      </c>
      <c r="K51" s="2" t="s">
        <v>53</v>
      </c>
      <c r="L51" s="2" t="s">
        <v>1031</v>
      </c>
      <c r="M51" s="2" t="s">
        <v>1032</v>
      </c>
      <c r="N51" s="2" t="s">
        <v>1033</v>
      </c>
      <c r="O51" s="2" t="s">
        <v>1029</v>
      </c>
      <c r="P51" s="3" t="s">
        <v>528</v>
      </c>
      <c r="Q51" s="3" t="s">
        <v>529</v>
      </c>
      <c r="R51" s="4">
        <v>173</v>
      </c>
      <c r="S51" s="2" t="s">
        <v>1034</v>
      </c>
      <c r="T51" s="2" t="s">
        <v>135</v>
      </c>
      <c r="U51" s="2" t="s">
        <v>1035</v>
      </c>
      <c r="V51" s="5" t="b">
        <v>0</v>
      </c>
      <c r="W51" s="2" t="s">
        <v>1036</v>
      </c>
      <c r="X51" s="5" t="b">
        <v>1</v>
      </c>
      <c r="Y51" s="2" t="s">
        <v>53</v>
      </c>
      <c r="Z51" s="2" t="s">
        <v>1037</v>
      </c>
      <c r="AA51" s="2" t="s">
        <v>1038</v>
      </c>
      <c r="AB51" s="5" t="b">
        <v>0</v>
      </c>
      <c r="AC51" s="5" t="b">
        <v>0</v>
      </c>
      <c r="AD51" s="2" t="s">
        <v>1039</v>
      </c>
      <c r="AE51" s="2" t="s">
        <v>53</v>
      </c>
      <c r="AF51" s="2" t="s">
        <v>1040</v>
      </c>
      <c r="AG51" s="2" t="s">
        <v>32</v>
      </c>
      <c r="AH51" s="6">
        <v>45960.387986111098</v>
      </c>
      <c r="AI51" s="5" t="b">
        <v>0</v>
      </c>
      <c r="AJ51" s="2" t="s">
        <v>1041</v>
      </c>
      <c r="AL51" s="2" t="s">
        <v>53</v>
      </c>
      <c r="AM51" s="2" t="s">
        <v>53</v>
      </c>
      <c r="AO51" s="2" t="s">
        <v>53</v>
      </c>
      <c r="AP51" s="2" t="s">
        <v>135</v>
      </c>
      <c r="AQ51" s="2" t="s">
        <v>1042</v>
      </c>
      <c r="AR51" s="2" t="s">
        <v>53</v>
      </c>
      <c r="AS51" s="2" t="s">
        <v>53</v>
      </c>
      <c r="AT51" s="4">
        <v>2</v>
      </c>
      <c r="AU51" s="2" t="s">
        <v>1043</v>
      </c>
      <c r="AV51" s="2" t="s">
        <v>1044</v>
      </c>
      <c r="AW51" s="2" t="s">
        <v>1045</v>
      </c>
      <c r="AX51">
        <v>0</v>
      </c>
      <c r="AY51" s="10" t="s">
        <v>1094</v>
      </c>
    </row>
    <row r="53" spans="1:51" x14ac:dyDescent="0.25">
      <c r="AW53" t="s">
        <v>1095</v>
      </c>
      <c r="AX53">
        <f>COUNTIF(AX2:AX51, 0)</f>
        <v>37</v>
      </c>
    </row>
    <row r="54" spans="1:51" x14ac:dyDescent="0.25">
      <c r="AW54" t="s">
        <v>1096</v>
      </c>
      <c r="AX54">
        <f>COUNTIF(AX2:AX51, 1)</f>
        <v>13</v>
      </c>
    </row>
    <row r="55" spans="1:51" x14ac:dyDescent="0.25">
      <c r="AW55" t="s">
        <v>1097</v>
      </c>
      <c r="AX55">
        <f>AX53/COUNT(AX2:AX51)</f>
        <v>0.74</v>
      </c>
    </row>
    <row r="56" spans="1:51" x14ac:dyDescent="0.25">
      <c r="AW56" t="s">
        <v>1098</v>
      </c>
      <c r="AX56">
        <f>AX54/COUNT(AX2:AX51)</f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Mayer</dc:creator>
  <cp:lastModifiedBy>William Mayer</cp:lastModifiedBy>
  <dcterms:created xsi:type="dcterms:W3CDTF">2026-02-02T14:54:35Z</dcterms:created>
  <dcterms:modified xsi:type="dcterms:W3CDTF">2026-02-02T17:10:58Z</dcterms:modified>
</cp:coreProperties>
</file>